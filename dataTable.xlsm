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F:\Development\Github\UEFN_DataParser\"/>
    </mc:Choice>
  </mc:AlternateContent>
  <xr:revisionPtr revIDLastSave="0" documentId="13_ncr:1_{7C6C3249-0A36-4AFA-991A-137436B509C6}" xr6:coauthVersionLast="47" xr6:coauthVersionMax="47" xr10:uidLastSave="{00000000-0000-0000-0000-000000000000}"/>
  <bookViews>
    <workbookView xWindow="-28920" yWindow="9075" windowWidth="29040" windowHeight="15720" activeTab="1" xr2:uid="{11D0F111-873D-472E-8C75-DA5A491DC945}"/>
  </bookViews>
  <sheets>
    <sheet name="!!readme!!" sheetId="9" r:id="rId1"/>
    <sheet name="_building_" sheetId="1" r:id="rId2"/>
    <sheet name="_generator_" sheetId="11" r:id="rId3"/>
    <sheet name="_meta_" sheetId="2" r:id="rId4"/>
    <sheet name="buildingDatabase" sheetId="3" r:id="rId5"/>
    <sheet name="generatorDatabase" sheetId="14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" i="1" l="1"/>
  <c r="D4" i="11"/>
  <c r="D3" i="11"/>
  <c r="C4" i="11"/>
  <c r="C3" i="11"/>
  <c r="C3" i="1"/>
  <c r="A4" i="11"/>
  <c r="A3" i="11"/>
  <c r="B3" i="11" s="1"/>
  <c r="C1" i="11"/>
  <c r="D1" i="11"/>
  <c r="B1" i="11"/>
  <c r="B4" i="11"/>
  <c r="C1" i="1"/>
  <c r="B1" i="1"/>
  <c r="A4" i="1"/>
  <c r="B4" i="1" s="1"/>
  <c r="A3" i="1"/>
  <c r="B3" i="1" s="1"/>
</calcChain>
</file>

<file path=xl/sharedStrings.xml><?xml version="1.0" encoding="utf-8"?>
<sst xmlns="http://schemas.openxmlformats.org/spreadsheetml/2006/main" count="34" uniqueCount="24">
  <si>
    <t>string</t>
  </si>
  <si>
    <t>int</t>
  </si>
  <si>
    <t>verse 코드 생성 위치</t>
  </si>
  <si>
    <t>콘솔창 바로 닫기 여부</t>
  </si>
  <si>
    <t>field</t>
  </si>
  <si>
    <t>파싱될 sheet는 다음과 같은 형식을 따라야 합니다. "_{sheetName}_", 예: "_itemData_"</t>
  </si>
  <si>
    <t>_meta_ 파일은 삭제되어서는 안 됩니다.</t>
  </si>
  <si>
    <t>파싱될 sheet의 첫번째와 두번째 열은 fieldName, key 로 고정입니다.
지정될 변수 이름과 map에 지정될 key 값에 해당하는 필드입니다.</t>
  </si>
  <si>
    <t>fieldName과 key 이외에는 열을 마음대로 늘리고 줄일 수 있습니다.</t>
  </si>
  <si>
    <t>파싱될 sheet 또한 여러 개 일 수 있습니다.</t>
  </si>
  <si>
    <t>"Verse 코드로 파싱" 버튼을 누르면 현재 엑셀 파일이 저장됩니다.</t>
  </si>
  <si>
    <t>가능한 field 타입은 다음과 같습니다. Int, float, logic(bool), string</t>
  </si>
  <si>
    <t>_meta_ sheet에서 경로를 본인 환경에서 제대로 지정해주어야 정상적으로 verse코드가 생성됩니다.</t>
  </si>
  <si>
    <t>고유 key</t>
  </si>
  <si>
    <t>C:\Users\SonHyeongJun\Documents\Fortnite Projects\Project_WinterSpecialForce\Plugins\Project_WinterSpecialForce\Content</t>
  </si>
  <si>
    <t>업그레이드 가격</t>
  </si>
  <si>
    <t>UpgradeCost</t>
  </si>
  <si>
    <t>Key</t>
  </si>
  <si>
    <t>floor1_wall</t>
  </si>
  <si>
    <t>floor2_wall</t>
  </si>
  <si>
    <t>level1_generator</t>
  </si>
  <si>
    <t>level2_generator</t>
  </si>
  <si>
    <t>초당 획득 돈</t>
  </si>
  <si>
    <t>MoneyPerSec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</si>
</sst>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Calibri"/>
      <family val="2"/>
      <charset val="129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2" borderId="0" applyNumberFormat="0" applyBorder="0" applyAlignment="0" applyProtection="0"/>
  </cellStyleXfs>
  <cellXfs count="4">
    <xf numFmtId="0" fontId="0" fillId="0" borderId="0" xfId="0"/>
    <xf numFmtId="0" fontId="0" fillId="0" borderId="0" xfId="0" applyAlignment="1">
      <alignment horizontal="center"/>
    </xf>
    <xf numFmtId="0" fontId="2" fillId="2" borderId="0" xfId="1" applyAlignment="1">
      <alignment horizontal="center"/>
    </xf>
    <xf numFmtId="0" fontId="0" fillId="0" borderId="0" xfId="0" applyAlignment="1">
      <alignment wrapText="1"/>
    </xf>
  </cellXfs>
  <cellStyles count="2">
    <cellStyle name="20% - 강조색1" xfId="1" builtinId="30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539750</xdr:colOff>
          <xdr:row>2</xdr:row>
          <xdr:rowOff>88900</xdr:rowOff>
        </xdr:from>
        <xdr:to>
          <xdr:col>19</xdr:col>
          <xdr:colOff>228600</xdr:colOff>
          <xdr:row>8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Verse 코드 생성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539750</xdr:colOff>
          <xdr:row>2</xdr:row>
          <xdr:rowOff>88900</xdr:rowOff>
        </xdr:from>
        <xdr:to>
          <xdr:col>17</xdr:col>
          <xdr:colOff>228600</xdr:colOff>
          <xdr:row>8</xdr:row>
          <xdr:rowOff>50800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3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Verse 코드 생성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E23A06-A721-4C1D-81A3-0D7CC3607AD0}">
  <dimension ref="A2:A9"/>
  <sheetViews>
    <sheetView workbookViewId="0">
      <selection activeCell="A12" sqref="A12"/>
    </sheetView>
  </sheetViews>
  <sheetFormatPr defaultRowHeight="14.5"/>
  <cols>
    <col min="1" max="1" width="108" customWidth="1"/>
  </cols>
  <sheetData>
    <row r="2" spans="1:1">
      <c r="A2" t="s">
        <v>5</v>
      </c>
    </row>
    <row r="3" spans="1:1">
      <c r="A3" t="s">
        <v>6</v>
      </c>
    </row>
    <row r="4" spans="1:1" ht="29">
      <c r="A4" s="3" t="s">
        <v>7</v>
      </c>
    </row>
    <row r="5" spans="1:1">
      <c r="A5" t="s">
        <v>8</v>
      </c>
    </row>
    <row r="6" spans="1:1">
      <c r="A6" t="s">
        <v>9</v>
      </c>
    </row>
    <row r="7" spans="1:1">
      <c r="A7" t="s">
        <v>10</v>
      </c>
    </row>
    <row r="8" spans="1:1">
      <c r="A8" t="s">
        <v>11</v>
      </c>
    </row>
    <row r="9" spans="1:1">
      <c r="A9" t="s">
        <v>12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2C16A5-D15F-4827-B7E3-6FA62E32172F}">
  <sheetPr codeName="Sheet1"/>
  <dimension ref="A1:C4"/>
  <sheetViews>
    <sheetView tabSelected="1" workbookViewId="0">
      <selection activeCell="B4" sqref="B4"/>
    </sheetView>
  </sheetViews>
  <sheetFormatPr defaultRowHeight="14.5"/>
  <cols>
    <col min="1" max="1" width="13.08984375" customWidth="1"/>
    <col min="2" max="3" width="14.08984375" customWidth="1"/>
    <col min="4" max="4" width="16" customWidth="1"/>
  </cols>
  <sheetData>
    <row r="1" spans="1:3">
      <c r="A1" t="s">
        <v>4</v>
      </c>
      <c r="B1" t="str">
        <f>buildingDatabase!B2</f>
        <v>Key</v>
      </c>
      <c r="C1" t="str">
        <f>buildingDatabase!C2</f>
        <v>UpgradeCost</v>
      </c>
    </row>
    <row r="2" spans="1:3">
      <c r="A2" t="s">
        <v>0</v>
      </c>
      <c r="B2" t="s">
        <v>0</v>
      </c>
      <c r="C2" t="s">
        <v>1</v>
      </c>
    </row>
    <row r="3" spans="1:3">
      <c r="A3" t="str">
        <f>buildingDatabase!B3</f>
        <v>floor1_wall</v>
      </c>
      <c r="B3" t="str">
        <f>A3</f>
        <v>floor1_wall</v>
      </c>
      <c r="C3">
        <f>VLOOKUP($B3,buildingDatabase!B:C,2,0)</f>
        <v>100</v>
      </c>
    </row>
    <row r="4" spans="1:3">
      <c r="A4" t="str">
        <f>buildingDatabase!B4</f>
        <v>floor2_wall</v>
      </c>
      <c r="B4" t="str">
        <f>A4</f>
        <v>floor2_wall</v>
      </c>
      <c r="C4">
        <f>VLOOKUP($B4,buildingDatabase!B:C,2,0)</f>
        <v>200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sv">
                <anchor moveWithCells="1" sizeWithCells="1">
                  <from>
                    <xdr:col>16</xdr:col>
                    <xdr:colOff>539750</xdr:colOff>
                    <xdr:row>2</xdr:row>
                    <xdr:rowOff>88900</xdr:rowOff>
                  </from>
                  <to>
                    <xdr:col>19</xdr:col>
                    <xdr:colOff>228600</xdr:colOff>
                    <xdr:row>8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D5903E-E795-465B-AD0B-A26815751D15}">
  <sheetPr codeName="Sheet3"/>
  <dimension ref="A1:D4"/>
  <sheetViews>
    <sheetView workbookViewId="0">
      <selection activeCell="C14" sqref="C14"/>
    </sheetView>
  </sheetViews>
  <sheetFormatPr defaultRowHeight="14.5"/>
  <cols>
    <col min="1" max="1" width="19.26953125" customWidth="1"/>
    <col min="2" max="2" width="23.453125" customWidth="1"/>
    <col min="3" max="3" width="16" customWidth="1"/>
    <col min="4" max="4" width="15.54296875" customWidth="1"/>
  </cols>
  <sheetData>
    <row r="1" spans="1:4">
      <c r="A1" t="s">
        <v>4</v>
      </c>
      <c r="B1" t="str">
        <f>generatorDatabase!B2</f>
        <v>Key</v>
      </c>
      <c r="C1" t="str">
        <f>generatorDatabase!C2</f>
        <v>UpgradeCost</v>
      </c>
      <c r="D1" t="str">
        <f>generatorDatabase!D2</f>
        <v>MoneyPerSec</v>
      </c>
    </row>
    <row r="2" spans="1:4">
      <c r="A2" t="s">
        <v>0</v>
      </c>
      <c r="B2" t="s">
        <v>0</v>
      </c>
      <c r="C2" t="s">
        <v>1</v>
      </c>
      <c r="D2" t="s">
        <v>1</v>
      </c>
    </row>
    <row r="3" spans="1:4">
      <c r="A3" t="str">
        <f>generatorDatabase!B3</f>
        <v>level1_generator</v>
      </c>
      <c r="B3" t="str">
        <f>A3</f>
        <v>level1_generator</v>
      </c>
      <c r="C3">
        <f>VLOOKUP($B3,generatorDatabase!$B:$D,COLUMN()-1,)</f>
        <v>100</v>
      </c>
      <c r="D3">
        <f>VLOOKUP($B3,generatorDatabase!$B:$D,COLUMN()-1,)</f>
        <v>1</v>
      </c>
    </row>
    <row r="4" spans="1:4">
      <c r="A4" t="str">
        <f>generatorDatabase!B4</f>
        <v>level2_generator</v>
      </c>
      <c r="B4" t="str">
        <f>A4</f>
        <v>level2_generator</v>
      </c>
      <c r="C4">
        <f>VLOOKUP($B4,generatorDatabase!$B:$D,COLUMN()-1,)</f>
        <v>200</v>
      </c>
      <c r="D4">
        <f>VLOOKUP($B4,generatorDatabase!$B:$D,COLUMN()-1,)</f>
        <v>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csv">
                <anchor moveWithCells="1" sizeWithCells="1">
                  <from>
                    <xdr:col>14</xdr:col>
                    <xdr:colOff>539750</xdr:colOff>
                    <xdr:row>2</xdr:row>
                    <xdr:rowOff>88900</xdr:rowOff>
                  </from>
                  <to>
                    <xdr:col>17</xdr:col>
                    <xdr:colOff>228600</xdr:colOff>
                    <xdr:row>8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03C4BF-D85E-4E98-BA16-BB5B8467B496}">
  <dimension ref="A1:B2"/>
  <sheetViews>
    <sheetView workbookViewId="0">
      <selection activeCell="D8" sqref="D8"/>
    </sheetView>
  </sheetViews>
  <sheetFormatPr defaultRowHeight="14.5"/>
  <cols>
    <col min="1" max="1" width="46.1796875" customWidth="1"/>
  </cols>
  <sheetData>
    <row r="1" spans="1:2">
      <c r="A1" t="s">
        <v>2</v>
      </c>
      <c r="B1" t="s">
        <v>14</v>
      </c>
    </row>
    <row r="2" spans="1:2">
      <c r="A2" t="s">
        <v>3</v>
      </c>
      <c r="B2" t="b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94D2C6-E044-4FA7-A046-87B2F807823A}">
  <dimension ref="B1:C19"/>
  <sheetViews>
    <sheetView workbookViewId="0">
      <pane ySplit="1" topLeftCell="A3" activePane="bottomLeft" state="frozen"/>
      <selection pane="bottomLeft" activeCell="B2" sqref="B2:C2"/>
    </sheetView>
  </sheetViews>
  <sheetFormatPr defaultRowHeight="14.5"/>
  <cols>
    <col min="1" max="1" width="1.90625" style="1" customWidth="1"/>
    <col min="2" max="2" width="19.7265625" style="1" customWidth="1"/>
    <col min="3" max="3" width="17.6328125" style="1" customWidth="1"/>
    <col min="4" max="5" width="38.36328125" style="1" customWidth="1"/>
    <col min="6" max="8" width="17.81640625" style="1" customWidth="1"/>
    <col min="9" max="9" width="19.90625" style="1" customWidth="1"/>
    <col min="10" max="10" width="15.81640625" style="1" customWidth="1"/>
    <col min="11" max="11" width="19.26953125" style="1" customWidth="1"/>
    <col min="12" max="12" width="22.6328125" style="1" customWidth="1"/>
    <col min="13" max="13" width="16.6328125" style="1" customWidth="1"/>
    <col min="14" max="16384" width="8.7265625" style="1"/>
  </cols>
  <sheetData>
    <row r="1" spans="2:3">
      <c r="B1" s="2" t="s">
        <v>13</v>
      </c>
      <c r="C1" s="2" t="s">
        <v>15</v>
      </c>
    </row>
    <row r="2" spans="2:3">
      <c r="B2" s="1" t="s">
        <v>17</v>
      </c>
      <c r="C2" s="1" t="s">
        <v>16</v>
      </c>
    </row>
    <row r="3" spans="2:3">
      <c r="B3" s="1" t="s">
        <v>18</v>
      </c>
      <c r="C3" s="1">
        <v>100</v>
      </c>
    </row>
    <row r="4" spans="2:3">
      <c r="B4" s="1" t="s">
        <v>19</v>
      </c>
      <c r="C4" s="1">
        <v>200</v>
      </c>
    </row>
    <row r="17" ht="40" customHeight="1"/>
    <row r="19" ht="18" customHeight="1"/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202CD-5D4E-47FF-AD45-A9DC4DE6B984}">
  <dimension ref="B1:D19"/>
  <sheetViews>
    <sheetView workbookViewId="0">
      <pane ySplit="1" topLeftCell="A2" activePane="bottomLeft" state="frozen"/>
      <selection pane="bottomLeft" activeCell="D7" sqref="D7"/>
    </sheetView>
  </sheetViews>
  <sheetFormatPr defaultRowHeight="14.5"/>
  <cols>
    <col min="1" max="1" width="1.90625" style="1" customWidth="1"/>
    <col min="2" max="2" width="25.7265625" style="1" customWidth="1"/>
    <col min="3" max="3" width="25.90625" style="1" customWidth="1"/>
    <col min="4" max="4" width="16.6328125" style="1" customWidth="1"/>
    <col min="5" max="16384" width="8.7265625" style="1"/>
  </cols>
  <sheetData>
    <row r="1" spans="2:4">
      <c r="B1" s="2" t="s">
        <v>13</v>
      </c>
      <c r="C1" s="2" t="s">
        <v>15</v>
      </c>
      <c r="D1" s="2" t="s">
        <v>22</v>
      </c>
    </row>
    <row r="2" spans="2:4">
      <c r="B2" s="1" t="s">
        <v>17</v>
      </c>
      <c r="C2" s="1" t="s">
        <v>16</v>
      </c>
      <c r="D2" s="1" t="s">
        <v>23</v>
      </c>
    </row>
    <row r="3" spans="2:4">
      <c r="B3" s="1" t="s">
        <v>20</v>
      </c>
      <c r="C3" s="1">
        <v>100</v>
      </c>
      <c r="D3" s="1">
        <v>1</v>
      </c>
    </row>
    <row r="4" spans="2:4">
      <c r="B4" s="1" t="s">
        <v>21</v>
      </c>
      <c r="C4" s="1">
        <v>200</v>
      </c>
      <c r="D4" s="1">
        <v>5</v>
      </c>
    </row>
    <row r="17" ht="40" customHeight="1"/>
    <row r="19" ht="18" customHeight="1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!!readme!!</vt:lpstr>
      <vt:lpstr>_building_</vt:lpstr>
      <vt:lpstr>_generator_</vt:lpstr>
      <vt:lpstr>_meta_</vt:lpstr>
      <vt:lpstr>buildingDatabase</vt:lpstr>
      <vt:lpstr>generatorDatabase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손형준</dc:creator>
  <cp:lastModifiedBy>손형준</cp:lastModifiedBy>
  <dcterms:created xsi:type="dcterms:W3CDTF">2023-10-31T14:58:01Z</dcterms:created>
  <dcterms:modified xsi:type="dcterms:W3CDTF">2023-12-29T07:43:14Z</dcterms:modified>
</cp:coreProperties>
</file>