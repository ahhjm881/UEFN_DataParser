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Development\Github\UEFN_DataParser\"/>
    </mc:Choice>
  </mc:AlternateContent>
  <xr:revisionPtr revIDLastSave="0" documentId="13_ncr:1_{DB442CB4-08DB-47F1-B330-CE2A947831D8}" xr6:coauthVersionLast="47" xr6:coauthVersionMax="47" xr10:uidLastSave="{00000000-0000-0000-0000-000000000000}"/>
  <bookViews>
    <workbookView xWindow="5655" yWindow="3990" windowWidth="28800" windowHeight="15345" activeTab="3" xr2:uid="{11D0F111-873D-472E-8C75-DA5A491DC945}"/>
  </bookViews>
  <sheets>
    <sheet name="!!readme!!" sheetId="9" r:id="rId1"/>
    <sheet name="_building_" sheetId="1" r:id="rId2"/>
    <sheet name="_contest_" sheetId="21" r:id="rId3"/>
    <sheet name="_training_" sheetId="18" r:id="rId4"/>
    <sheet name="_sandbag_" sheetId="17" r:id="rId5"/>
    <sheet name="_pc_" sheetId="16" r:id="rId6"/>
    <sheet name="_powerDropper_" sheetId="19" r:id="rId7"/>
    <sheet name="_meta_" sheetId="2" r:id="rId8"/>
    <sheet name="buildingDatabase" sheetId="3" r:id="rId9"/>
    <sheet name="generatorDatabase" sheetId="14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F11" i="1"/>
  <c r="F12" i="1"/>
  <c r="F13" i="1"/>
  <c r="F14" i="1"/>
  <c r="F15" i="1"/>
  <c r="F16" i="1"/>
  <c r="F17" i="1"/>
  <c r="F9" i="1"/>
  <c r="B5" i="1"/>
  <c r="B6" i="1"/>
  <c r="B4" i="1"/>
  <c r="B4" i="19"/>
  <c r="B6" i="19"/>
  <c r="B7" i="19"/>
  <c r="B8" i="19"/>
  <c r="B9" i="19"/>
  <c r="B10" i="19"/>
  <c r="B11" i="19"/>
  <c r="B12" i="19"/>
  <c r="B13" i="19"/>
  <c r="B4" i="21"/>
  <c r="B1" i="21"/>
  <c r="B22" i="1"/>
  <c r="B21" i="1"/>
  <c r="B19" i="1"/>
  <c r="B20" i="1"/>
  <c r="B18" i="1"/>
  <c r="B11" i="1"/>
  <c r="B12" i="1"/>
  <c r="B13" i="1"/>
  <c r="B14" i="1"/>
  <c r="B15" i="1"/>
  <c r="B16" i="1"/>
  <c r="B17" i="1"/>
  <c r="B10" i="1"/>
  <c r="B9" i="1"/>
  <c r="B4" i="16"/>
  <c r="B3" i="16"/>
  <c r="B5" i="19"/>
  <c r="B1" i="19"/>
  <c r="B4" i="18"/>
  <c r="B1" i="18"/>
  <c r="B4" i="17"/>
  <c r="B1" i="17"/>
  <c r="B1" i="16"/>
  <c r="B1" i="1"/>
  <c r="A8" i="1"/>
  <c r="B8" i="1" s="1"/>
  <c r="C8" i="1" s="1"/>
  <c r="A7" i="1"/>
  <c r="B7" i="1" s="1"/>
  <c r="C7" i="1" s="1"/>
</calcChain>
</file>

<file path=xl/sharedStrings.xml><?xml version="1.0" encoding="utf-8"?>
<sst xmlns="http://schemas.openxmlformats.org/spreadsheetml/2006/main" count="122" uniqueCount="59">
  <si>
    <t>string</t>
  </si>
  <si>
    <t>int</t>
  </si>
  <si>
    <t>verse 코드 생성 위치</t>
  </si>
  <si>
    <t>콘솔창 바로 닫기 여부</t>
  </si>
  <si>
    <t>field</t>
  </si>
  <si>
    <t>파싱될 sheet는 다음과 같은 형식을 따라야 합니다. "_{sheetName}_", 예: "_itemData_"</t>
  </si>
  <si>
    <t>_meta_ 파일은 삭제되어서는 안 됩니다.</t>
  </si>
  <si>
    <t>파싱될 sheet의 첫번째와 두번째 열은 fieldName, key 로 고정입니다.
지정될 변수 이름과 map에 지정될 key 값에 해당하는 필드입니다.</t>
  </si>
  <si>
    <t>fieldName과 key 이외에는 열을 마음대로 늘리고 줄일 수 있습니다.</t>
  </si>
  <si>
    <t>파싱될 sheet 또한 여러 개 일 수 있습니다.</t>
  </si>
  <si>
    <t>"Verse 코드로 파싱" 버튼을 누르면 현재 엑셀 파일이 저장됩니다.</t>
  </si>
  <si>
    <t>가능한 field 타입은 다음과 같습니다. Int, float, logic(bool), string</t>
  </si>
  <si>
    <t>_meta_ sheet에서 경로를 본인 환경에서 제대로 지정해주어야 정상적으로 verse코드가 생성됩니다.</t>
  </si>
  <si>
    <t>고유 key</t>
  </si>
  <si>
    <t>업그레이드 가격</t>
  </si>
  <si>
    <t>UpgradeCost</t>
  </si>
  <si>
    <t>Key</t>
  </si>
  <si>
    <t>floor1_wall</t>
  </si>
  <si>
    <t>floor2_wall</t>
  </si>
  <si>
    <t>level1_generator</t>
  </si>
  <si>
    <t>level2_generator</t>
  </si>
  <si>
    <t>초당 획득 돈</t>
  </si>
  <si>
    <t>MoneyPerSec</t>
  </si>
  <si>
    <t>None</t>
  </si>
  <si>
    <t>reward1</t>
  </si>
  <si>
    <t>holdTime</t>
  </si>
  <si>
    <t>float</t>
  </si>
  <si>
    <t>C:\Users\SonHyeongJun\Documents\Fortnite Projects\TaekwondoTycoon\Plugins\TaekwondoTycoon\Content</t>
  </si>
  <si>
    <t>gettingPerSec</t>
  </si>
  <si>
    <t>requirementPower</t>
  </si>
  <si>
    <t>requirementStudent</t>
  </si>
  <si>
    <t>trophy_rank_yellow</t>
  </si>
  <si>
    <t>trophy_rank_blue</t>
  </si>
  <si>
    <t>trophy_rank_green</t>
  </si>
  <si>
    <t>trophy_rank_purple</t>
  </si>
  <si>
    <t>trophy_rank_orange</t>
  </si>
  <si>
    <t>trophy_rank_pm</t>
  </si>
  <si>
    <t>trophy_rank_brown</t>
  </si>
  <si>
    <t>trophy_rank_red</t>
  </si>
  <si>
    <t>trophy_rank_black</t>
  </si>
  <si>
    <t>requirementAdd</t>
  </si>
  <si>
    <t>mutator_test_1</t>
  </si>
  <si>
    <t>mutator_test_2</t>
  </si>
  <si>
    <t>mutator_test_3</t>
  </si>
  <si>
    <t>mutator_test_4</t>
  </si>
  <si>
    <t>mutator_test_5</t>
  </si>
  <si>
    <t>default</t>
  </si>
  <si>
    <t>gettingReward</t>
  </si>
  <si>
    <t>trophy_rank_white</t>
  </si>
  <si>
    <t>description</t>
  </si>
  <si>
    <t>reward</t>
  </si>
  <si>
    <t>NoDisplay</t>
  </si>
  <si>
    <t>Click to here!!</t>
  </si>
  <si>
    <t>isDisplayPrice</t>
  </si>
  <si>
    <t>logic</t>
  </si>
  <si>
    <t>No Display</t>
  </si>
  <si>
    <t>traning_1</t>
  </si>
  <si>
    <t>entry_point</t>
  </si>
  <si>
    <t>Game 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</si>
</sst>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charset val="129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/>
    </xf>
    <xf numFmtId="0" fontId="2" fillId="2" borderId="0" xfId="1" applyAlignment="1">
      <alignment horizontal="center"/>
    </xf>
    <xf numFmtId="0" fontId="0" fillId="0" borderId="0" xfId="0" applyAlignment="1">
      <alignment wrapText="1"/>
    </xf>
  </cellXfs>
  <cellStyles count="2">
    <cellStyle name="20% - 강조색1" xfId="1" builtinId="3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542925</xdr:colOff>
          <xdr:row>6</xdr:row>
          <xdr:rowOff>85725</xdr:rowOff>
        </xdr:from>
        <xdr:to>
          <xdr:col>19</xdr:col>
          <xdr:colOff>228600</xdr:colOff>
          <xdr:row>12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542925</xdr:colOff>
          <xdr:row>3</xdr:row>
          <xdr:rowOff>85725</xdr:rowOff>
        </xdr:from>
        <xdr:to>
          <xdr:col>16</xdr:col>
          <xdr:colOff>228600</xdr:colOff>
          <xdr:row>8</xdr:row>
          <xdr:rowOff>47625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542925</xdr:colOff>
          <xdr:row>3</xdr:row>
          <xdr:rowOff>85725</xdr:rowOff>
        </xdr:from>
        <xdr:to>
          <xdr:col>17</xdr:col>
          <xdr:colOff>228600</xdr:colOff>
          <xdr:row>9</xdr:row>
          <xdr:rowOff>47625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542925</xdr:colOff>
          <xdr:row>3</xdr:row>
          <xdr:rowOff>85725</xdr:rowOff>
        </xdr:from>
        <xdr:to>
          <xdr:col>17</xdr:col>
          <xdr:colOff>228600</xdr:colOff>
          <xdr:row>9</xdr:row>
          <xdr:rowOff>47625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4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542925</xdr:colOff>
          <xdr:row>3</xdr:row>
          <xdr:rowOff>85725</xdr:rowOff>
        </xdr:from>
        <xdr:to>
          <xdr:col>17</xdr:col>
          <xdr:colOff>228600</xdr:colOff>
          <xdr:row>9</xdr:row>
          <xdr:rowOff>47625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542925</xdr:colOff>
          <xdr:row>3</xdr:row>
          <xdr:rowOff>85725</xdr:rowOff>
        </xdr:from>
        <xdr:to>
          <xdr:col>16</xdr:col>
          <xdr:colOff>228600</xdr:colOff>
          <xdr:row>8</xdr:row>
          <xdr:rowOff>47625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23A06-A721-4C1D-81A3-0D7CC3607AD0}">
  <dimension ref="A2:A9"/>
  <sheetViews>
    <sheetView workbookViewId="0">
      <selection activeCell="A12" sqref="A12"/>
    </sheetView>
  </sheetViews>
  <sheetFormatPr defaultRowHeight="15"/>
  <cols>
    <col min="1" max="1" width="108" customWidth="1"/>
  </cols>
  <sheetData>
    <row r="2" spans="1:1">
      <c r="A2" t="s">
        <v>5</v>
      </c>
    </row>
    <row r="3" spans="1:1">
      <c r="A3" t="s">
        <v>6</v>
      </c>
    </row>
    <row r="4" spans="1:1" ht="30">
      <c r="A4" s="3" t="s">
        <v>7</v>
      </c>
    </row>
    <row r="5" spans="1:1">
      <c r="A5" t="s">
        <v>8</v>
      </c>
    </row>
    <row r="6" spans="1:1">
      <c r="A6" t="s">
        <v>9</v>
      </c>
    </row>
    <row r="7" spans="1:1">
      <c r="A7" t="s">
        <v>10</v>
      </c>
    </row>
    <row r="8" spans="1:1">
      <c r="A8" t="s">
        <v>11</v>
      </c>
    </row>
    <row r="9" spans="1:1">
      <c r="A9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C16A5-D15F-4827-B7E3-6FA62E32172F}">
  <sheetPr codeName="Sheet1"/>
  <dimension ref="A1:G22"/>
  <sheetViews>
    <sheetView zoomScale="130" zoomScaleNormal="130" workbookViewId="0">
      <selection activeCell="I28" sqref="I28"/>
    </sheetView>
  </sheetViews>
  <sheetFormatPr defaultRowHeight="15"/>
  <cols>
    <col min="1" max="1" width="23.5703125" customWidth="1"/>
    <col min="2" max="2" width="22.85546875" customWidth="1"/>
    <col min="3" max="3" width="18.28515625" customWidth="1"/>
    <col min="4" max="4" width="21" customWidth="1"/>
    <col min="5" max="5" width="16.42578125" customWidth="1"/>
    <col min="6" max="6" width="19.140625" customWidth="1"/>
    <col min="7" max="7" width="13.28515625" customWidth="1"/>
  </cols>
  <sheetData>
    <row r="1" spans="1:7">
      <c r="A1" t="s">
        <v>4</v>
      </c>
      <c r="B1" t="str">
        <f>buildingDatabase!B2</f>
        <v>Key</v>
      </c>
      <c r="C1" t="s">
        <v>29</v>
      </c>
      <c r="D1" t="s">
        <v>30</v>
      </c>
      <c r="E1" t="s">
        <v>40</v>
      </c>
      <c r="F1" t="s">
        <v>49</v>
      </c>
      <c r="G1" t="s">
        <v>53</v>
      </c>
    </row>
    <row r="2" spans="1:7">
      <c r="A2" t="s">
        <v>0</v>
      </c>
      <c r="B2" t="s">
        <v>0</v>
      </c>
      <c r="C2" t="s">
        <v>1</v>
      </c>
      <c r="D2" t="s">
        <v>1</v>
      </c>
      <c r="E2" t="s">
        <v>1</v>
      </c>
      <c r="F2" t="s">
        <v>0</v>
      </c>
      <c r="G2" t="s">
        <v>54</v>
      </c>
    </row>
    <row r="3" spans="1:7">
      <c r="A3" t="s">
        <v>23</v>
      </c>
      <c r="B3" t="s">
        <v>23</v>
      </c>
      <c r="C3">
        <v>0</v>
      </c>
      <c r="D3">
        <v>0</v>
      </c>
      <c r="E3">
        <v>0</v>
      </c>
      <c r="F3" t="s">
        <v>23</v>
      </c>
      <c r="G3" t="b">
        <v>1</v>
      </c>
    </row>
    <row r="4" spans="1:7">
      <c r="A4" t="s">
        <v>51</v>
      </c>
      <c r="B4" t="str">
        <f t="shared" ref="B4:B10" si="0">A4</f>
        <v>NoDisplay</v>
      </c>
      <c r="C4">
        <v>0</v>
      </c>
      <c r="D4">
        <v>0</v>
      </c>
      <c r="E4">
        <v>0</v>
      </c>
      <c r="F4" t="s">
        <v>55</v>
      </c>
      <c r="G4" t="b">
        <v>0</v>
      </c>
    </row>
    <row r="5" spans="1:7">
      <c r="A5" t="s">
        <v>57</v>
      </c>
      <c r="B5" t="str">
        <f t="shared" si="0"/>
        <v>entry_point</v>
      </c>
      <c r="C5">
        <v>0</v>
      </c>
      <c r="D5">
        <v>0</v>
      </c>
      <c r="E5">
        <v>0</v>
      </c>
      <c r="F5" t="s">
        <v>58</v>
      </c>
      <c r="G5" t="b">
        <v>0</v>
      </c>
    </row>
    <row r="6" spans="1:7">
      <c r="A6" t="s">
        <v>56</v>
      </c>
      <c r="B6" t="str">
        <f t="shared" si="0"/>
        <v>traning_1</v>
      </c>
      <c r="C6">
        <v>0</v>
      </c>
      <c r="D6">
        <v>0</v>
      </c>
      <c r="E6">
        <v>0</v>
      </c>
      <c r="F6" t="s">
        <v>52</v>
      </c>
      <c r="G6" t="b">
        <v>0</v>
      </c>
    </row>
    <row r="7" spans="1:7">
      <c r="A7" t="str">
        <f>buildingDatabase!B3</f>
        <v>floor1_wall</v>
      </c>
      <c r="B7" t="str">
        <f t="shared" si="0"/>
        <v>floor1_wall</v>
      </c>
      <c r="C7">
        <f>VLOOKUP($B7,buildingDatabase!B:C,2,0)</f>
        <v>100</v>
      </c>
      <c r="D7">
        <v>200</v>
      </c>
      <c r="E7">
        <v>0</v>
      </c>
      <c r="F7" t="s">
        <v>23</v>
      </c>
      <c r="G7" t="b">
        <v>1</v>
      </c>
    </row>
    <row r="8" spans="1:7">
      <c r="A8" t="str">
        <f>buildingDatabase!B4</f>
        <v>floor2_wall</v>
      </c>
      <c r="B8" t="str">
        <f t="shared" si="0"/>
        <v>floor2_wall</v>
      </c>
      <c r="C8">
        <f>VLOOKUP($B8,buildingDatabase!B:C,2,0)</f>
        <v>200</v>
      </c>
      <c r="D8">
        <v>400</v>
      </c>
      <c r="E8">
        <v>0</v>
      </c>
      <c r="F8" t="s">
        <v>23</v>
      </c>
      <c r="G8" t="b">
        <v>1</v>
      </c>
    </row>
    <row r="9" spans="1:7">
      <c r="A9" t="s">
        <v>31</v>
      </c>
      <c r="B9" t="str">
        <f t="shared" si="0"/>
        <v>trophy_rank_yellow</v>
      </c>
      <c r="C9">
        <v>1</v>
      </c>
      <c r="D9">
        <v>2</v>
      </c>
      <c r="E9">
        <v>0</v>
      </c>
      <c r="F9" t="str">
        <f>B9</f>
        <v>trophy_rank_yellow</v>
      </c>
      <c r="G9" t="b">
        <v>1</v>
      </c>
    </row>
    <row r="10" spans="1:7">
      <c r="A10" t="s">
        <v>33</v>
      </c>
      <c r="B10" t="str">
        <f t="shared" si="0"/>
        <v>trophy_rank_green</v>
      </c>
      <c r="C10">
        <v>2</v>
      </c>
      <c r="D10">
        <v>3</v>
      </c>
      <c r="E10">
        <v>0</v>
      </c>
      <c r="F10" t="str">
        <f t="shared" ref="F10:F17" si="1">B10</f>
        <v>trophy_rank_green</v>
      </c>
      <c r="G10" t="b">
        <v>1</v>
      </c>
    </row>
    <row r="11" spans="1:7">
      <c r="A11" t="s">
        <v>32</v>
      </c>
      <c r="B11" t="str">
        <f t="shared" ref="B11:B18" si="2">A11</f>
        <v>trophy_rank_blue</v>
      </c>
      <c r="C11">
        <v>3</v>
      </c>
      <c r="D11">
        <v>4</v>
      </c>
      <c r="E11">
        <v>0</v>
      </c>
      <c r="F11" t="str">
        <f t="shared" si="1"/>
        <v>trophy_rank_blue</v>
      </c>
      <c r="G11" t="b">
        <v>1</v>
      </c>
    </row>
    <row r="12" spans="1:7">
      <c r="A12" t="s">
        <v>34</v>
      </c>
      <c r="B12" t="str">
        <f t="shared" si="2"/>
        <v>trophy_rank_purple</v>
      </c>
      <c r="C12">
        <v>4</v>
      </c>
      <c r="D12">
        <v>5</v>
      </c>
      <c r="E12">
        <v>0</v>
      </c>
      <c r="F12" t="str">
        <f t="shared" si="1"/>
        <v>trophy_rank_purple</v>
      </c>
      <c r="G12" t="b">
        <v>1</v>
      </c>
    </row>
    <row r="13" spans="1:7">
      <c r="A13" t="s">
        <v>35</v>
      </c>
      <c r="B13" t="str">
        <f t="shared" si="2"/>
        <v>trophy_rank_orange</v>
      </c>
      <c r="C13">
        <v>5</v>
      </c>
      <c r="D13">
        <v>6</v>
      </c>
      <c r="E13">
        <v>0</v>
      </c>
      <c r="F13" t="str">
        <f t="shared" si="1"/>
        <v>trophy_rank_orange</v>
      </c>
      <c r="G13" t="b">
        <v>1</v>
      </c>
    </row>
    <row r="14" spans="1:7">
      <c r="A14" t="s">
        <v>37</v>
      </c>
      <c r="B14" t="str">
        <f t="shared" si="2"/>
        <v>trophy_rank_brown</v>
      </c>
      <c r="C14">
        <v>6</v>
      </c>
      <c r="D14">
        <v>7</v>
      </c>
      <c r="E14">
        <v>0</v>
      </c>
      <c r="F14" t="str">
        <f t="shared" si="1"/>
        <v>trophy_rank_brown</v>
      </c>
      <c r="G14" t="b">
        <v>1</v>
      </c>
    </row>
    <row r="15" spans="1:7">
      <c r="A15" t="s">
        <v>38</v>
      </c>
      <c r="B15" t="str">
        <f t="shared" si="2"/>
        <v>trophy_rank_red</v>
      </c>
      <c r="C15">
        <v>7</v>
      </c>
      <c r="D15">
        <v>8</v>
      </c>
      <c r="E15">
        <v>0</v>
      </c>
      <c r="F15" t="str">
        <f t="shared" si="1"/>
        <v>trophy_rank_red</v>
      </c>
      <c r="G15" t="b">
        <v>1</v>
      </c>
    </row>
    <row r="16" spans="1:7">
      <c r="A16" t="s">
        <v>36</v>
      </c>
      <c r="B16" t="str">
        <f t="shared" si="2"/>
        <v>trophy_rank_pm</v>
      </c>
      <c r="C16">
        <v>8</v>
      </c>
      <c r="D16">
        <v>9</v>
      </c>
      <c r="E16">
        <v>0</v>
      </c>
      <c r="F16" t="str">
        <f t="shared" si="1"/>
        <v>trophy_rank_pm</v>
      </c>
      <c r="G16" t="b">
        <v>1</v>
      </c>
    </row>
    <row r="17" spans="1:7">
      <c r="A17" t="s">
        <v>39</v>
      </c>
      <c r="B17" t="str">
        <f t="shared" si="2"/>
        <v>trophy_rank_black</v>
      </c>
      <c r="C17">
        <v>9</v>
      </c>
      <c r="D17">
        <v>10</v>
      </c>
      <c r="E17">
        <v>0</v>
      </c>
      <c r="F17" t="str">
        <f t="shared" si="1"/>
        <v>trophy_rank_black</v>
      </c>
      <c r="G17" t="b">
        <v>1</v>
      </c>
    </row>
    <row r="18" spans="1:7">
      <c r="A18" t="s">
        <v>41</v>
      </c>
      <c r="B18" t="str">
        <f t="shared" si="2"/>
        <v>mutator_test_1</v>
      </c>
      <c r="C18">
        <v>123</v>
      </c>
      <c r="D18">
        <v>0</v>
      </c>
      <c r="E18">
        <v>0</v>
      </c>
      <c r="F18" t="s">
        <v>23</v>
      </c>
      <c r="G18" t="b">
        <v>1</v>
      </c>
    </row>
    <row r="19" spans="1:7">
      <c r="A19" t="s">
        <v>42</v>
      </c>
      <c r="B19" t="str">
        <f t="shared" ref="B19:B20" si="3">A19</f>
        <v>mutator_test_2</v>
      </c>
      <c r="C19">
        <v>123</v>
      </c>
      <c r="D19">
        <v>123</v>
      </c>
      <c r="E19">
        <v>0</v>
      </c>
      <c r="F19" t="s">
        <v>23</v>
      </c>
      <c r="G19" t="b">
        <v>1</v>
      </c>
    </row>
    <row r="20" spans="1:7">
      <c r="A20" t="s">
        <v>43</v>
      </c>
      <c r="B20" t="str">
        <f t="shared" si="3"/>
        <v>mutator_test_3</v>
      </c>
      <c r="C20">
        <v>123</v>
      </c>
      <c r="D20">
        <v>123</v>
      </c>
      <c r="E20">
        <v>123</v>
      </c>
      <c r="F20" t="s">
        <v>23</v>
      </c>
      <c r="G20" t="b">
        <v>1</v>
      </c>
    </row>
    <row r="21" spans="1:7">
      <c r="A21" t="s">
        <v>44</v>
      </c>
      <c r="B21" t="str">
        <f t="shared" ref="B21" si="4">A21</f>
        <v>mutator_test_4</v>
      </c>
      <c r="C21">
        <v>123</v>
      </c>
      <c r="D21">
        <v>0</v>
      </c>
      <c r="E21">
        <v>123</v>
      </c>
      <c r="F21" t="s">
        <v>23</v>
      </c>
      <c r="G21" t="b">
        <v>1</v>
      </c>
    </row>
    <row r="22" spans="1:7">
      <c r="A22" t="s">
        <v>45</v>
      </c>
      <c r="B22" t="str">
        <f t="shared" ref="B22" si="5">A22</f>
        <v>mutator_test_5</v>
      </c>
      <c r="C22">
        <v>0</v>
      </c>
      <c r="D22">
        <v>0</v>
      </c>
      <c r="E22">
        <v>123</v>
      </c>
      <c r="F22" t="s">
        <v>23</v>
      </c>
      <c r="G22" t="b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">
                <anchor moveWithCells="1" sizeWithCells="1">
                  <from>
                    <xdr:col>16</xdr:col>
                    <xdr:colOff>542925</xdr:colOff>
                    <xdr:row>6</xdr:row>
                    <xdr:rowOff>85725</xdr:rowOff>
                  </from>
                  <to>
                    <xdr:col>19</xdr:col>
                    <xdr:colOff>228600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DA95C-DA6B-478C-8DB9-6962196F1705}">
  <sheetPr codeName="Sheet8"/>
  <dimension ref="A1:C4"/>
  <sheetViews>
    <sheetView workbookViewId="0">
      <selection activeCell="E14" sqref="E14"/>
    </sheetView>
  </sheetViews>
  <sheetFormatPr defaultRowHeight="15"/>
  <cols>
    <col min="1" max="1" width="19.28515625" customWidth="1"/>
    <col min="2" max="2" width="23.42578125" customWidth="1"/>
    <col min="3" max="3" width="17.85546875" customWidth="1"/>
  </cols>
  <sheetData>
    <row r="1" spans="1:3">
      <c r="A1" t="s">
        <v>4</v>
      </c>
      <c r="B1" t="str">
        <f>generatorDatabase!B2</f>
        <v>Key</v>
      </c>
      <c r="C1" t="s">
        <v>47</v>
      </c>
    </row>
    <row r="2" spans="1:3">
      <c r="A2" t="s">
        <v>0</v>
      </c>
      <c r="B2" t="s">
        <v>0</v>
      </c>
      <c r="C2" t="s">
        <v>26</v>
      </c>
    </row>
    <row r="3" spans="1:3">
      <c r="A3" t="s">
        <v>23</v>
      </c>
      <c r="B3" t="s">
        <v>23</v>
      </c>
      <c r="C3">
        <v>0</v>
      </c>
    </row>
    <row r="4" spans="1:3">
      <c r="A4" t="s">
        <v>46</v>
      </c>
      <c r="B4" t="str">
        <f>A4</f>
        <v>default</v>
      </c>
      <c r="C4">
        <v>0.05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csv">
                <anchor moveWithCells="1" sizeWithCells="1">
                  <from>
                    <xdr:col>13</xdr:col>
                    <xdr:colOff>542925</xdr:colOff>
                    <xdr:row>3</xdr:row>
                    <xdr:rowOff>85725</xdr:rowOff>
                  </from>
                  <to>
                    <xdr:col>16</xdr:col>
                    <xdr:colOff>228600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48C7E-4D5B-4B9D-B23C-8D0120B386E5}">
  <sheetPr codeName="Sheet6"/>
  <dimension ref="A1:D4"/>
  <sheetViews>
    <sheetView tabSelected="1" workbookViewId="0">
      <selection activeCell="L27" sqref="L27"/>
    </sheetView>
  </sheetViews>
  <sheetFormatPr defaultRowHeight="15"/>
  <cols>
    <col min="1" max="1" width="19.28515625" customWidth="1"/>
    <col min="2" max="2" width="23.42578125" customWidth="1"/>
    <col min="3" max="3" width="23.7109375" customWidth="1"/>
    <col min="4" max="4" width="15.5703125" customWidth="1"/>
  </cols>
  <sheetData>
    <row r="1" spans="1:4">
      <c r="A1" t="s">
        <v>4</v>
      </c>
      <c r="B1" t="str">
        <f>generatorDatabase!B2</f>
        <v>Key</v>
      </c>
      <c r="C1" t="s">
        <v>25</v>
      </c>
      <c r="D1" t="s">
        <v>50</v>
      </c>
    </row>
    <row r="2" spans="1:4">
      <c r="A2" t="s">
        <v>0</v>
      </c>
      <c r="B2" t="s">
        <v>0</v>
      </c>
      <c r="C2" t="s">
        <v>26</v>
      </c>
      <c r="D2" t="s">
        <v>26</v>
      </c>
    </row>
    <row r="3" spans="1:4">
      <c r="A3" t="s">
        <v>23</v>
      </c>
      <c r="B3" t="s">
        <v>23</v>
      </c>
      <c r="C3">
        <v>1</v>
      </c>
      <c r="D3">
        <v>1</v>
      </c>
    </row>
    <row r="4" spans="1:4">
      <c r="A4" t="s">
        <v>24</v>
      </c>
      <c r="B4" t="str">
        <f>A4</f>
        <v>reward1</v>
      </c>
      <c r="C4">
        <v>5</v>
      </c>
      <c r="D4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csv">
                <anchor moveWithCells="1" sizeWithCells="1">
                  <from>
                    <xdr:col>14</xdr:col>
                    <xdr:colOff>542925</xdr:colOff>
                    <xdr:row>3</xdr:row>
                    <xdr:rowOff>85725</xdr:rowOff>
                  </from>
                  <to>
                    <xdr:col>17</xdr:col>
                    <xdr:colOff>228600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2DE25-B7EA-46EC-B852-8715CE6AAFB1}">
  <sheetPr codeName="Sheet5"/>
  <dimension ref="A1:D4"/>
  <sheetViews>
    <sheetView workbookViewId="0">
      <selection activeCell="M9" sqref="M9"/>
    </sheetView>
  </sheetViews>
  <sheetFormatPr defaultRowHeight="15"/>
  <cols>
    <col min="1" max="1" width="19.28515625" customWidth="1"/>
    <col min="2" max="2" width="23.42578125" customWidth="1"/>
    <col min="3" max="3" width="16" customWidth="1"/>
    <col min="4" max="4" width="15.5703125" customWidth="1"/>
  </cols>
  <sheetData>
    <row r="1" spans="1:4">
      <c r="A1" t="s">
        <v>4</v>
      </c>
      <c r="B1" t="str">
        <f>generatorDatabase!B2</f>
        <v>Key</v>
      </c>
      <c r="C1" t="s">
        <v>25</v>
      </c>
      <c r="D1" t="s">
        <v>50</v>
      </c>
    </row>
    <row r="2" spans="1:4">
      <c r="A2" t="s">
        <v>0</v>
      </c>
      <c r="B2" t="s">
        <v>0</v>
      </c>
      <c r="C2" t="s">
        <v>26</v>
      </c>
      <c r="D2" t="s">
        <v>1</v>
      </c>
    </row>
    <row r="3" spans="1:4">
      <c r="A3" t="s">
        <v>23</v>
      </c>
      <c r="B3" t="s">
        <v>23</v>
      </c>
      <c r="C3">
        <v>1</v>
      </c>
      <c r="D3">
        <v>1</v>
      </c>
    </row>
    <row r="4" spans="1:4">
      <c r="A4" t="s">
        <v>46</v>
      </c>
      <c r="B4" t="str">
        <f>A4</f>
        <v>default</v>
      </c>
      <c r="C4">
        <v>2</v>
      </c>
      <c r="D4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csv">
                <anchor moveWithCells="1" sizeWithCells="1">
                  <from>
                    <xdr:col>14</xdr:col>
                    <xdr:colOff>542925</xdr:colOff>
                    <xdr:row>3</xdr:row>
                    <xdr:rowOff>85725</xdr:rowOff>
                  </from>
                  <to>
                    <xdr:col>17</xdr:col>
                    <xdr:colOff>228600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BEFE2-9B22-491F-9415-C0B04F8DC321}">
  <sheetPr codeName="Sheet4"/>
  <dimension ref="A1:D4"/>
  <sheetViews>
    <sheetView workbookViewId="0">
      <selection activeCell="D4" sqref="C1:D4"/>
    </sheetView>
  </sheetViews>
  <sheetFormatPr defaultRowHeight="15"/>
  <cols>
    <col min="1" max="1" width="19.28515625" customWidth="1"/>
    <col min="2" max="2" width="23.42578125" customWidth="1"/>
    <col min="3" max="3" width="16" customWidth="1"/>
    <col min="4" max="4" width="15.5703125" customWidth="1"/>
  </cols>
  <sheetData>
    <row r="1" spans="1:4">
      <c r="A1" t="s">
        <v>4</v>
      </c>
      <c r="B1" t="str">
        <f>generatorDatabase!B2</f>
        <v>Key</v>
      </c>
      <c r="C1" t="s">
        <v>25</v>
      </c>
      <c r="D1" t="s">
        <v>50</v>
      </c>
    </row>
    <row r="2" spans="1:4">
      <c r="A2" t="s">
        <v>0</v>
      </c>
      <c r="B2" t="s">
        <v>0</v>
      </c>
      <c r="C2" t="s">
        <v>26</v>
      </c>
      <c r="D2" t="s">
        <v>1</v>
      </c>
    </row>
    <row r="3" spans="1:4">
      <c r="A3" t="s">
        <v>23</v>
      </c>
      <c r="B3" t="str">
        <f>A3</f>
        <v>None</v>
      </c>
      <c r="C3">
        <v>1</v>
      </c>
      <c r="D3">
        <v>1</v>
      </c>
    </row>
    <row r="4" spans="1:4">
      <c r="A4" t="s">
        <v>24</v>
      </c>
      <c r="B4" t="str">
        <f>A4</f>
        <v>reward1</v>
      </c>
      <c r="C4">
        <v>2</v>
      </c>
      <c r="D4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csv">
                <anchor moveWithCells="1" sizeWithCells="1">
                  <from>
                    <xdr:col>14</xdr:col>
                    <xdr:colOff>542925</xdr:colOff>
                    <xdr:row>3</xdr:row>
                    <xdr:rowOff>85725</xdr:rowOff>
                  </from>
                  <to>
                    <xdr:col>17</xdr:col>
                    <xdr:colOff>228600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43813-425D-4987-9069-ED7CEA971953}">
  <sheetPr codeName="Sheet7"/>
  <dimension ref="A1:C13"/>
  <sheetViews>
    <sheetView workbookViewId="0">
      <selection activeCell="D43" sqref="D43"/>
    </sheetView>
  </sheetViews>
  <sheetFormatPr defaultRowHeight="15"/>
  <cols>
    <col min="1" max="1" width="19.28515625" customWidth="1"/>
    <col min="2" max="2" width="23.42578125" customWidth="1"/>
    <col min="3" max="3" width="15.5703125" customWidth="1"/>
  </cols>
  <sheetData>
    <row r="1" spans="1:3">
      <c r="A1" t="s">
        <v>4</v>
      </c>
      <c r="B1" t="str">
        <f>generatorDatabase!B2</f>
        <v>Key</v>
      </c>
      <c r="C1" t="s">
        <v>28</v>
      </c>
    </row>
    <row r="2" spans="1:3">
      <c r="A2" t="s">
        <v>0</v>
      </c>
      <c r="B2" t="s">
        <v>0</v>
      </c>
      <c r="C2" t="s">
        <v>1</v>
      </c>
    </row>
    <row r="3" spans="1:3">
      <c r="A3" t="s">
        <v>23</v>
      </c>
      <c r="B3" t="s">
        <v>23</v>
      </c>
      <c r="C3">
        <v>0</v>
      </c>
    </row>
    <row r="4" spans="1:3">
      <c r="A4" t="s">
        <v>48</v>
      </c>
      <c r="B4" t="str">
        <f>A4</f>
        <v>trophy_rank_white</v>
      </c>
      <c r="C4">
        <v>1</v>
      </c>
    </row>
    <row r="5" spans="1:3">
      <c r="A5" t="s">
        <v>31</v>
      </c>
      <c r="B5" t="str">
        <f>A5</f>
        <v>trophy_rank_yellow</v>
      </c>
      <c r="C5">
        <v>8</v>
      </c>
    </row>
    <row r="6" spans="1:3">
      <c r="A6" t="s">
        <v>33</v>
      </c>
      <c r="B6" t="str">
        <f t="shared" ref="B6:B13" si="0">A6</f>
        <v>trophy_rank_green</v>
      </c>
      <c r="C6">
        <v>16</v>
      </c>
    </row>
    <row r="7" spans="1:3">
      <c r="A7" t="s">
        <v>32</v>
      </c>
      <c r="B7" t="str">
        <f t="shared" si="0"/>
        <v>trophy_rank_blue</v>
      </c>
      <c r="C7">
        <v>31</v>
      </c>
    </row>
    <row r="8" spans="1:3">
      <c r="A8" t="s">
        <v>34</v>
      </c>
      <c r="B8" t="str">
        <f t="shared" si="0"/>
        <v>trophy_rank_purple</v>
      </c>
      <c r="C8">
        <v>54</v>
      </c>
    </row>
    <row r="9" spans="1:3">
      <c r="A9" t="s">
        <v>35</v>
      </c>
      <c r="B9" t="str">
        <f t="shared" si="0"/>
        <v>trophy_rank_orange</v>
      </c>
      <c r="C9">
        <v>92</v>
      </c>
    </row>
    <row r="10" spans="1:3">
      <c r="A10" t="s">
        <v>37</v>
      </c>
      <c r="B10" t="str">
        <f t="shared" si="0"/>
        <v>trophy_rank_brown</v>
      </c>
      <c r="C10">
        <v>153</v>
      </c>
    </row>
    <row r="11" spans="1:3">
      <c r="A11" t="s">
        <v>38</v>
      </c>
      <c r="B11" t="str">
        <f t="shared" si="0"/>
        <v>trophy_rank_red</v>
      </c>
      <c r="C11">
        <v>252</v>
      </c>
    </row>
    <row r="12" spans="1:3">
      <c r="A12" t="s">
        <v>36</v>
      </c>
      <c r="B12" t="str">
        <f t="shared" si="0"/>
        <v>trophy_rank_pm</v>
      </c>
      <c r="C12">
        <v>412</v>
      </c>
    </row>
    <row r="13" spans="1:3">
      <c r="A13" t="s">
        <v>39</v>
      </c>
      <c r="B13" t="str">
        <f t="shared" si="0"/>
        <v>trophy_rank_black</v>
      </c>
      <c r="C13">
        <v>671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sv">
                <anchor moveWithCells="1" sizeWithCells="1">
                  <from>
                    <xdr:col>13</xdr:col>
                    <xdr:colOff>542925</xdr:colOff>
                    <xdr:row>3</xdr:row>
                    <xdr:rowOff>85725</xdr:rowOff>
                  </from>
                  <to>
                    <xdr:col>16</xdr:col>
                    <xdr:colOff>228600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3C4BF-D85E-4E98-BA16-BB5B8467B496}">
  <dimension ref="A1:B2"/>
  <sheetViews>
    <sheetView workbookViewId="0">
      <selection activeCell="B2" sqref="B2"/>
    </sheetView>
  </sheetViews>
  <sheetFormatPr defaultRowHeight="15"/>
  <cols>
    <col min="1" max="1" width="46.140625" customWidth="1"/>
  </cols>
  <sheetData>
    <row r="1" spans="1:2">
      <c r="A1" t="s">
        <v>2</v>
      </c>
      <c r="B1" t="s">
        <v>27</v>
      </c>
    </row>
    <row r="2" spans="1:2">
      <c r="A2" t="s">
        <v>3</v>
      </c>
      <c r="B2" t="b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4D2C6-E044-4FA7-A046-87B2F807823A}">
  <dimension ref="B1:C19"/>
  <sheetViews>
    <sheetView workbookViewId="0">
      <pane ySplit="1" topLeftCell="A3" activePane="bottomLeft" state="frozen"/>
      <selection pane="bottomLeft" activeCell="B2" sqref="B2:C2"/>
    </sheetView>
  </sheetViews>
  <sheetFormatPr defaultColWidth="8.7109375" defaultRowHeight="15"/>
  <cols>
    <col min="1" max="1" width="1.85546875" style="1" customWidth="1"/>
    <col min="2" max="2" width="19.7109375" style="1" customWidth="1"/>
    <col min="3" max="3" width="17.5703125" style="1" customWidth="1"/>
    <col min="4" max="5" width="38.42578125" style="1" customWidth="1"/>
    <col min="6" max="8" width="17.85546875" style="1" customWidth="1"/>
    <col min="9" max="9" width="19.85546875" style="1" customWidth="1"/>
    <col min="10" max="10" width="15.85546875" style="1" customWidth="1"/>
    <col min="11" max="11" width="19.28515625" style="1" customWidth="1"/>
    <col min="12" max="12" width="22.5703125" style="1" customWidth="1"/>
    <col min="13" max="13" width="16.5703125" style="1" customWidth="1"/>
    <col min="14" max="16384" width="8.7109375" style="1"/>
  </cols>
  <sheetData>
    <row r="1" spans="2:3">
      <c r="B1" s="2" t="s">
        <v>13</v>
      </c>
      <c r="C1" s="2" t="s">
        <v>14</v>
      </c>
    </row>
    <row r="2" spans="2:3">
      <c r="B2" s="1" t="s">
        <v>16</v>
      </c>
      <c r="C2" s="1" t="s">
        <v>15</v>
      </c>
    </row>
    <row r="3" spans="2:3">
      <c r="B3" s="1" t="s">
        <v>17</v>
      </c>
      <c r="C3" s="1">
        <v>100</v>
      </c>
    </row>
    <row r="4" spans="2:3">
      <c r="B4" s="1" t="s">
        <v>18</v>
      </c>
      <c r="C4" s="1">
        <v>200</v>
      </c>
    </row>
    <row r="17" ht="39.950000000000003" customHeight="1"/>
    <row r="19" ht="18" customHeight="1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202CD-5D4E-47FF-AD45-A9DC4DE6B984}">
  <dimension ref="B1:D19"/>
  <sheetViews>
    <sheetView workbookViewId="0">
      <pane ySplit="1" topLeftCell="A2" activePane="bottomLeft" state="frozen"/>
      <selection pane="bottomLeft" activeCell="B3" sqref="B3"/>
    </sheetView>
  </sheetViews>
  <sheetFormatPr defaultColWidth="8.7109375" defaultRowHeight="15"/>
  <cols>
    <col min="1" max="1" width="1.85546875" style="1" customWidth="1"/>
    <col min="2" max="2" width="25.7109375" style="1" customWidth="1"/>
    <col min="3" max="3" width="25.85546875" style="1" customWidth="1"/>
    <col min="4" max="4" width="16.5703125" style="1" customWidth="1"/>
    <col min="5" max="16384" width="8.7109375" style="1"/>
  </cols>
  <sheetData>
    <row r="1" spans="2:4">
      <c r="B1" s="2" t="s">
        <v>13</v>
      </c>
      <c r="C1" s="2" t="s">
        <v>14</v>
      </c>
      <c r="D1" s="2" t="s">
        <v>21</v>
      </c>
    </row>
    <row r="2" spans="2:4">
      <c r="B2" s="1" t="s">
        <v>16</v>
      </c>
      <c r="C2" s="1" t="s">
        <v>15</v>
      </c>
      <c r="D2" s="1" t="s">
        <v>22</v>
      </c>
    </row>
    <row r="3" spans="2:4">
      <c r="B3" s="1" t="s">
        <v>19</v>
      </c>
      <c r="C3" s="1">
        <v>100</v>
      </c>
      <c r="D3" s="1">
        <v>1</v>
      </c>
    </row>
    <row r="4" spans="2:4">
      <c r="B4" s="1" t="s">
        <v>20</v>
      </c>
      <c r="C4" s="1">
        <v>200</v>
      </c>
      <c r="D4" s="1">
        <v>5</v>
      </c>
    </row>
    <row r="17" ht="39.950000000000003" customHeight="1"/>
    <row r="19" ht="18" customHeigh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!!readme!!</vt:lpstr>
      <vt:lpstr>_building_</vt:lpstr>
      <vt:lpstr>_contest_</vt:lpstr>
      <vt:lpstr>_training_</vt:lpstr>
      <vt:lpstr>_sandbag_</vt:lpstr>
      <vt:lpstr>_pc_</vt:lpstr>
      <vt:lpstr>_powerDropper_</vt:lpstr>
      <vt:lpstr>_meta_</vt:lpstr>
      <vt:lpstr>buildingDatabase</vt:lpstr>
      <vt:lpstr>generatorDatabase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손형준</dc:creator>
  <cp:lastModifiedBy>손형준</cp:lastModifiedBy>
  <dcterms:created xsi:type="dcterms:W3CDTF">2023-10-31T14:58:01Z</dcterms:created>
  <dcterms:modified xsi:type="dcterms:W3CDTF">2024-02-19T12:09:55Z</dcterms:modified>
</cp:coreProperties>
</file>