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Development\Github\UEFN_DataParser\"/>
    </mc:Choice>
  </mc:AlternateContent>
  <xr:revisionPtr revIDLastSave="0" documentId="13_ncr:1_{1F35C860-2FC1-4939-9EA5-185D4DDE58ED}" xr6:coauthVersionLast="47" xr6:coauthVersionMax="47" xr10:uidLastSave="{00000000-0000-0000-0000-000000000000}"/>
  <bookViews>
    <workbookView xWindow="-28920" yWindow="9075" windowWidth="29040" windowHeight="15720" activeTab="1" xr2:uid="{11D0F111-873D-472E-8C75-DA5A491DC945}"/>
  </bookViews>
  <sheets>
    <sheet name="!!readme!!" sheetId="9" r:id="rId1"/>
    <sheet name="_test_" sheetId="15" r:id="rId2"/>
    <sheet name="_weapon_" sheetId="1" r:id="rId3"/>
    <sheet name="_object_" sheetId="11" r:id="rId4"/>
    <sheet name="_meta_" sheetId="2" r:id="rId5"/>
    <sheet name="weaponDatabase" sheetId="3" r:id="rId6"/>
    <sheet name="objectDatabase" sheetId="1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5" l="1"/>
  <c r="B4" i="15" s="1"/>
  <c r="A3" i="15"/>
  <c r="B3" i="15" s="1"/>
  <c r="A4" i="11"/>
  <c r="A3" i="11"/>
  <c r="A4" i="1"/>
  <c r="B4" i="1" s="1"/>
  <c r="E3" i="1"/>
  <c r="D3" i="1"/>
  <c r="A3" i="1"/>
  <c r="B3" i="11"/>
  <c r="B3" i="1"/>
  <c r="B4" i="11"/>
  <c r="E4" i="1" l="1"/>
  <c r="C4" i="1"/>
  <c r="D4" i="1"/>
  <c r="C3" i="1"/>
</calcChain>
</file>

<file path=xl/sharedStrings.xml><?xml version="1.0" encoding="utf-8"?>
<sst xmlns="http://schemas.openxmlformats.org/spreadsheetml/2006/main" count="81" uniqueCount="54">
  <si>
    <t>string</t>
  </si>
  <si>
    <t>int</t>
  </si>
  <si>
    <t>verse 코드 생성 위치</t>
  </si>
  <si>
    <t>콘솔창 바로 닫기 여부</t>
  </si>
  <si>
    <t>Legendary</t>
  </si>
  <si>
    <t>Combat SMG</t>
  </si>
  <si>
    <t>rarity</t>
  </si>
  <si>
    <t>name_eng</t>
  </si>
  <si>
    <t>name_kor</t>
  </si>
  <si>
    <t>전투 기관단총</t>
  </si>
  <si>
    <t>영문 이름(fortnite.gg)</t>
  </si>
  <si>
    <t>한글 이름(uefn 검색 기준)</t>
  </si>
  <si>
    <t>등급(fornite.gg)</t>
  </si>
  <si>
    <t>고유 id</t>
  </si>
  <si>
    <t>https://fortnite.gg/weapons</t>
  </si>
  <si>
    <t>field</t>
  </si>
  <si>
    <t>key</t>
  </si>
  <si>
    <t>moneyPerShoot</t>
  </si>
  <si>
    <t>buyCost</t>
  </si>
  <si>
    <t>파싱될 sheet는 다음과 같은 형식을 따라야 합니다. "_{sheetName}_", 예: "_itemData_"</t>
  </si>
  <si>
    <t>_meta_ 파일은 삭제되어서는 안 됩니다.</t>
  </si>
  <si>
    <t>파싱될 sheet의 첫번째와 두번째 열은 fieldName, key 로 고정입니다.
지정될 변수 이름과 map에 지정될 key 값에 해당하는 필드입니다.</t>
  </si>
  <si>
    <t>fieldName과 key 이외에는 열을 마음대로 늘리고 줄일 수 있습니다.</t>
  </si>
  <si>
    <t>파싱될 sheet 또한 여러 개 일 수 있습니다.</t>
  </si>
  <si>
    <t>"Verse 코드로 파싱" 버튼을 누르면 현재 엑셀 파일이 저장됩니다.</t>
  </si>
  <si>
    <t>가능한 field 타입은 다음과 같습니다. Int, float, logic(bool), string</t>
  </si>
  <si>
    <t>_meta_ sheet에서 경로를 본인 환경에서 제대로 지정해주어야 정상적으로 verse코드가 생성됩니다.</t>
  </si>
  <si>
    <t>index</t>
  </si>
  <si>
    <t>unlockCost</t>
  </si>
  <si>
    <t>고유 index</t>
  </si>
  <si>
    <t>피격당 획득 돈</t>
  </si>
  <si>
    <t>level1</t>
  </si>
  <si>
    <t>level</t>
  </si>
  <si>
    <t>obj1</t>
  </si>
  <si>
    <t>obj2</t>
  </si>
  <si>
    <t>속한 level</t>
  </si>
  <si>
    <t>고유 key</t>
  </si>
  <si>
    <t>weapon1</t>
  </si>
  <si>
    <t>weapon2</t>
  </si>
  <si>
    <t>해금에 필요한 돈</t>
  </si>
  <si>
    <t>재장전 시간</t>
  </si>
  <si>
    <t>reload</t>
  </si>
  <si>
    <t>초당 발사횟수</t>
  </si>
  <si>
    <t>탄창 크기</t>
  </si>
  <si>
    <t>magSize</t>
  </si>
  <si>
    <t>구매 가격</t>
  </si>
  <si>
    <t>Rapid Fire SMG</t>
  </si>
  <si>
    <t>Rare</t>
  </si>
  <si>
    <t>fire rate</t>
  </si>
  <si>
    <t>test_float</t>
  </si>
  <si>
    <t>test_logic</t>
  </si>
  <si>
    <t>float</t>
  </si>
  <si>
    <t>logic</t>
  </si>
  <si>
    <t>C:\Users\SonHyeongJun\Documents\Fortnite Projects\Project_WinterSpecialForce\Plugins\Project_WinterSpecialForce\Content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</si>
</sst>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charset val="129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charset val="129"/>
      <scheme val="minor"/>
    </font>
    <font>
      <u/>
      <sz val="11"/>
      <color theme="10"/>
      <name val="Calibri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center"/>
    </xf>
    <xf numFmtId="0" fontId="2" fillId="2" borderId="0" xfId="1" applyAlignment="1">
      <alignment horizontal="center"/>
    </xf>
    <xf numFmtId="0" fontId="0" fillId="0" borderId="0" xfId="0" applyAlignment="1">
      <alignment wrapText="1"/>
    </xf>
    <xf numFmtId="0" fontId="3" fillId="0" borderId="0" xfId="2" applyAlignment="1">
      <alignment horizontal="center"/>
    </xf>
  </cellXfs>
  <cellStyles count="3">
    <cellStyle name="20% - 강조색1" xfId="1" builtinId="30"/>
    <cellStyle name="표준" xfId="0" builtinId="0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539750</xdr:colOff>
          <xdr:row>2</xdr:row>
          <xdr:rowOff>88900</xdr:rowOff>
        </xdr:from>
        <xdr:to>
          <xdr:col>17</xdr:col>
          <xdr:colOff>228600</xdr:colOff>
          <xdr:row>8</xdr:row>
          <xdr:rowOff>50800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67B6ECD-29FB-4BAC-8AF1-226D336349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539750</xdr:colOff>
          <xdr:row>2</xdr:row>
          <xdr:rowOff>88900</xdr:rowOff>
        </xdr:from>
        <xdr:to>
          <xdr:col>19</xdr:col>
          <xdr:colOff>228600</xdr:colOff>
          <xdr:row>8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539750</xdr:colOff>
          <xdr:row>2</xdr:row>
          <xdr:rowOff>88900</xdr:rowOff>
        </xdr:from>
        <xdr:to>
          <xdr:col>17</xdr:col>
          <xdr:colOff>228600</xdr:colOff>
          <xdr:row>8</xdr:row>
          <xdr:rowOff>50800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fortnite.gg/weapon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23A06-A721-4C1D-81A3-0D7CC3607AD0}">
  <dimension ref="A2:A9"/>
  <sheetViews>
    <sheetView workbookViewId="0">
      <selection activeCell="A12" sqref="A12"/>
    </sheetView>
  </sheetViews>
  <sheetFormatPr defaultRowHeight="14.5"/>
  <cols>
    <col min="1" max="1" width="108" customWidth="1"/>
  </cols>
  <sheetData>
    <row r="2" spans="1:1">
      <c r="A2" t="s">
        <v>19</v>
      </c>
    </row>
    <row r="3" spans="1:1">
      <c r="A3" t="s">
        <v>20</v>
      </c>
    </row>
    <row r="4" spans="1:1" ht="29">
      <c r="A4" s="3" t="s">
        <v>21</v>
      </c>
    </row>
    <row r="5" spans="1:1">
      <c r="A5" t="s">
        <v>22</v>
      </c>
    </row>
    <row r="6" spans="1:1">
      <c r="A6" t="s">
        <v>23</v>
      </c>
    </row>
    <row r="7" spans="1:1">
      <c r="A7" t="s">
        <v>24</v>
      </c>
    </row>
    <row r="8" spans="1:1">
      <c r="A8" t="s">
        <v>25</v>
      </c>
    </row>
    <row r="9" spans="1:1">
      <c r="A9" t="s">
        <v>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1DA84-EF60-4C16-B9DB-6EC412F3F343}">
  <sheetPr codeName="Sheet4"/>
  <dimension ref="A1:D4"/>
  <sheetViews>
    <sheetView tabSelected="1" workbookViewId="0">
      <selection activeCell="E29" sqref="E29"/>
    </sheetView>
  </sheetViews>
  <sheetFormatPr defaultRowHeight="14.5"/>
  <cols>
    <col min="1" max="2" width="13.08984375" customWidth="1"/>
    <col min="3" max="3" width="16" customWidth="1"/>
    <col min="4" max="4" width="15.54296875" customWidth="1"/>
  </cols>
  <sheetData>
    <row r="1" spans="1:4">
      <c r="A1" t="s">
        <v>15</v>
      </c>
      <c r="B1" t="s">
        <v>16</v>
      </c>
      <c r="C1" t="s">
        <v>17</v>
      </c>
      <c r="D1" t="s">
        <v>28</v>
      </c>
    </row>
    <row r="2" spans="1:4">
      <c r="A2" t="s">
        <v>0</v>
      </c>
      <c r="B2" t="s">
        <v>0</v>
      </c>
      <c r="C2" t="s">
        <v>1</v>
      </c>
      <c r="D2" t="s">
        <v>1</v>
      </c>
    </row>
    <row r="3" spans="1:4">
      <c r="A3" t="str">
        <f>objectDatabase!B3</f>
        <v>obj1</v>
      </c>
      <c r="B3" t="str">
        <f>A3</f>
        <v>obj1</v>
      </c>
      <c r="C3">
        <v>2</v>
      </c>
      <c r="D3">
        <v>200</v>
      </c>
    </row>
    <row r="4" spans="1:4">
      <c r="A4" t="str">
        <f>objectDatabase!B4</f>
        <v>obj2</v>
      </c>
      <c r="B4" t="str">
        <f t="shared" ref="B4" si="0">A4</f>
        <v>obj2</v>
      </c>
      <c r="C4">
        <v>4</v>
      </c>
      <c r="D4">
        <v>400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csv">
                <anchor moveWithCells="1" sizeWithCells="1">
                  <from>
                    <xdr:col>14</xdr:col>
                    <xdr:colOff>539750</xdr:colOff>
                    <xdr:row>2</xdr:row>
                    <xdr:rowOff>88900</xdr:rowOff>
                  </from>
                  <to>
                    <xdr:col>17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C16A5-D15F-4827-B7E3-6FA62E32172F}">
  <sheetPr codeName="Sheet1"/>
  <dimension ref="A1:G4"/>
  <sheetViews>
    <sheetView topLeftCell="C1" workbookViewId="0">
      <selection activeCell="L7" sqref="L7"/>
    </sheetView>
  </sheetViews>
  <sheetFormatPr defaultRowHeight="14.5"/>
  <cols>
    <col min="1" max="1" width="13.08984375" customWidth="1"/>
    <col min="2" max="3" width="14.08984375" customWidth="1"/>
    <col min="4" max="4" width="16" customWidth="1"/>
  </cols>
  <sheetData>
    <row r="1" spans="1:7">
      <c r="A1" t="s">
        <v>15</v>
      </c>
      <c r="B1" t="s">
        <v>16</v>
      </c>
      <c r="C1" t="s">
        <v>27</v>
      </c>
      <c r="D1" t="s">
        <v>17</v>
      </c>
      <c r="E1" t="s">
        <v>18</v>
      </c>
      <c r="F1" t="s">
        <v>49</v>
      </c>
      <c r="G1" t="s">
        <v>50</v>
      </c>
    </row>
    <row r="2" spans="1:7">
      <c r="A2" t="s">
        <v>0</v>
      </c>
      <c r="B2" t="s">
        <v>0</v>
      </c>
      <c r="C2" t="s">
        <v>1</v>
      </c>
      <c r="D2" t="s">
        <v>1</v>
      </c>
      <c r="E2" t="s">
        <v>1</v>
      </c>
      <c r="F2" t="s">
        <v>51</v>
      </c>
      <c r="G2" t="s">
        <v>52</v>
      </c>
    </row>
    <row r="3" spans="1:7">
      <c r="A3" t="str">
        <f>weaponDatabase!B3</f>
        <v>weapon1</v>
      </c>
      <c r="B3" t="str">
        <f>A3</f>
        <v>weapon1</v>
      </c>
      <c r="C3">
        <f>VLOOKUP($B3,weaponDatabase!$B:$K,2,1)</f>
        <v>0</v>
      </c>
      <c r="D3">
        <f>VLOOKUP($B3,weaponDatabase!$B:$K,9,1)</f>
        <v>5</v>
      </c>
      <c r="E3">
        <f>VLOOKUP($B3,weaponDatabase!$B:$K,10,1)</f>
        <v>0</v>
      </c>
      <c r="F3">
        <v>32</v>
      </c>
      <c r="G3" t="b">
        <v>1</v>
      </c>
    </row>
    <row r="4" spans="1:7">
      <c r="A4" t="str">
        <f>weaponDatabase!B4</f>
        <v>weapon2</v>
      </c>
      <c r="B4" t="str">
        <f>A4</f>
        <v>weapon2</v>
      </c>
      <c r="C4">
        <f>VLOOKUP($B4,weaponDatabase!$B:$K,2,1)</f>
        <v>1</v>
      </c>
      <c r="D4">
        <f>VLOOKUP($B4,weaponDatabase!$B:$K,9,1)</f>
        <v>15</v>
      </c>
      <c r="E4">
        <f>VLOOKUP($B4,weaponDatabase!$B:$K,10,1)</f>
        <v>200</v>
      </c>
      <c r="F4">
        <v>12.321</v>
      </c>
      <c r="G4" t="b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">
                <anchor moveWithCells="1" sizeWithCells="1">
                  <from>
                    <xdr:col>16</xdr:col>
                    <xdr:colOff>539750</xdr:colOff>
                    <xdr:row>2</xdr:row>
                    <xdr:rowOff>88900</xdr:rowOff>
                  </from>
                  <to>
                    <xdr:col>19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5903E-E795-465B-AD0B-A26815751D15}">
  <sheetPr codeName="Sheet3"/>
  <dimension ref="A1:D4"/>
  <sheetViews>
    <sheetView workbookViewId="0">
      <selection activeCell="M31" sqref="M31"/>
    </sheetView>
  </sheetViews>
  <sheetFormatPr defaultRowHeight="14.5"/>
  <cols>
    <col min="1" max="2" width="13.08984375" customWidth="1"/>
    <col min="3" max="3" width="16" customWidth="1"/>
    <col min="4" max="4" width="15.54296875" customWidth="1"/>
  </cols>
  <sheetData>
    <row r="1" spans="1:4">
      <c r="A1" t="s">
        <v>15</v>
      </c>
      <c r="B1" t="s">
        <v>16</v>
      </c>
      <c r="C1" t="s">
        <v>17</v>
      </c>
      <c r="D1" t="s">
        <v>28</v>
      </c>
    </row>
    <row r="2" spans="1:4">
      <c r="A2" t="s">
        <v>0</v>
      </c>
      <c r="B2" t="s">
        <v>0</v>
      </c>
      <c r="C2" t="s">
        <v>1</v>
      </c>
      <c r="D2" t="s">
        <v>1</v>
      </c>
    </row>
    <row r="3" spans="1:4">
      <c r="A3" t="str">
        <f>objectDatabase!B3</f>
        <v>obj1</v>
      </c>
      <c r="B3" t="str">
        <f>A3</f>
        <v>obj1</v>
      </c>
      <c r="C3">
        <v>2</v>
      </c>
      <c r="D3">
        <v>200</v>
      </c>
    </row>
    <row r="4" spans="1:4">
      <c r="A4" t="str">
        <f>objectDatabase!B4</f>
        <v>obj2</v>
      </c>
      <c r="B4" t="str">
        <f t="shared" ref="B4" si="0">A4</f>
        <v>obj2</v>
      </c>
      <c r="C4">
        <v>4</v>
      </c>
      <c r="D4">
        <v>400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sv">
                <anchor moveWithCells="1" sizeWithCells="1">
                  <from>
                    <xdr:col>14</xdr:col>
                    <xdr:colOff>539750</xdr:colOff>
                    <xdr:row>2</xdr:row>
                    <xdr:rowOff>88900</xdr:rowOff>
                  </from>
                  <to>
                    <xdr:col>17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3C4BF-D85E-4E98-BA16-BB5B8467B496}">
  <dimension ref="A1:B2"/>
  <sheetViews>
    <sheetView workbookViewId="0">
      <selection activeCell="D8" sqref="D8"/>
    </sheetView>
  </sheetViews>
  <sheetFormatPr defaultRowHeight="14.5"/>
  <cols>
    <col min="1" max="1" width="46.1796875" customWidth="1"/>
  </cols>
  <sheetData>
    <row r="1" spans="1:2">
      <c r="A1" t="s">
        <v>2</v>
      </c>
      <c r="B1" t="s">
        <v>53</v>
      </c>
    </row>
    <row r="2" spans="1:2">
      <c r="A2" t="s">
        <v>3</v>
      </c>
      <c r="B2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4D2C6-E044-4FA7-A046-87B2F807823A}">
  <dimension ref="B1:L19"/>
  <sheetViews>
    <sheetView workbookViewId="0">
      <pane ySplit="1" topLeftCell="A2" activePane="bottomLeft" state="frozen"/>
      <selection pane="bottomLeft" activeCell="E31" sqref="E31"/>
    </sheetView>
  </sheetViews>
  <sheetFormatPr defaultRowHeight="14.5"/>
  <cols>
    <col min="1" max="1" width="1.90625" style="1" customWidth="1"/>
    <col min="2" max="2" width="11.54296875" style="1" customWidth="1"/>
    <col min="3" max="3" width="14.36328125" style="1" customWidth="1"/>
    <col min="4" max="5" width="38.36328125" style="1" customWidth="1"/>
    <col min="6" max="8" width="17.81640625" style="1" customWidth="1"/>
    <col min="9" max="9" width="19.90625" style="1" customWidth="1"/>
    <col min="10" max="10" width="15.81640625" style="1" customWidth="1"/>
    <col min="11" max="11" width="19.26953125" style="1" customWidth="1"/>
    <col min="12" max="12" width="22.6328125" style="1" customWidth="1"/>
    <col min="13" max="13" width="16.6328125" style="1" customWidth="1"/>
    <col min="14" max="16384" width="8.7265625" style="1"/>
  </cols>
  <sheetData>
    <row r="1" spans="2:12">
      <c r="B1" s="2" t="s">
        <v>36</v>
      </c>
      <c r="C1" s="2" t="s">
        <v>29</v>
      </c>
      <c r="D1" s="2" t="s">
        <v>10</v>
      </c>
      <c r="E1" s="2" t="s">
        <v>11</v>
      </c>
      <c r="F1" s="2" t="s">
        <v>12</v>
      </c>
      <c r="G1" s="2" t="s">
        <v>43</v>
      </c>
      <c r="H1" s="2" t="s">
        <v>40</v>
      </c>
      <c r="I1" s="2" t="s">
        <v>42</v>
      </c>
      <c r="J1" s="2" t="s">
        <v>30</v>
      </c>
      <c r="K1" s="2" t="s">
        <v>45</v>
      </c>
    </row>
    <row r="2" spans="2:12">
      <c r="B2" s="1" t="s">
        <v>16</v>
      </c>
      <c r="C2" s="1" t="s">
        <v>27</v>
      </c>
      <c r="D2" s="1" t="s">
        <v>7</v>
      </c>
      <c r="E2" s="1" t="s">
        <v>8</v>
      </c>
      <c r="F2" s="1" t="s">
        <v>6</v>
      </c>
      <c r="G2" s="1" t="s">
        <v>44</v>
      </c>
      <c r="H2" s="1" t="s">
        <v>41</v>
      </c>
      <c r="I2" s="1" t="s">
        <v>48</v>
      </c>
      <c r="J2" s="1" t="s">
        <v>17</v>
      </c>
      <c r="K2" s="1" t="s">
        <v>18</v>
      </c>
      <c r="L2" s="4" t="s">
        <v>14</v>
      </c>
    </row>
    <row r="3" spans="2:12">
      <c r="B3" s="1" t="s">
        <v>37</v>
      </c>
      <c r="C3" s="1">
        <v>0</v>
      </c>
      <c r="D3" s="1" t="s">
        <v>5</v>
      </c>
      <c r="E3" s="1" t="s">
        <v>9</v>
      </c>
      <c r="F3" s="1" t="s">
        <v>4</v>
      </c>
      <c r="G3" s="1">
        <v>32</v>
      </c>
      <c r="H3" s="1">
        <v>2.16</v>
      </c>
      <c r="I3" s="1">
        <v>12</v>
      </c>
      <c r="J3" s="1">
        <v>5</v>
      </c>
      <c r="K3" s="1">
        <v>0</v>
      </c>
    </row>
    <row r="4" spans="2:12">
      <c r="B4" s="1" t="s">
        <v>38</v>
      </c>
      <c r="C4" s="1">
        <v>1</v>
      </c>
      <c r="D4" s="1" t="s">
        <v>46</v>
      </c>
      <c r="F4" s="1" t="s">
        <v>47</v>
      </c>
      <c r="G4" s="1">
        <v>20</v>
      </c>
      <c r="H4" s="1">
        <v>1.5</v>
      </c>
      <c r="I4" s="1">
        <v>15</v>
      </c>
      <c r="J4" s="1">
        <v>15</v>
      </c>
      <c r="K4" s="1">
        <v>200</v>
      </c>
    </row>
    <row r="17" ht="40" customHeight="1"/>
    <row r="19" ht="18" customHeight="1"/>
  </sheetData>
  <hyperlinks>
    <hyperlink ref="L2" r:id="rId1" xr:uid="{2B076913-01C4-4966-A02E-FCC0D04EA94A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202CD-5D4E-47FF-AD45-A9DC4DE6B984}">
  <dimension ref="B1:E19"/>
  <sheetViews>
    <sheetView workbookViewId="0">
      <pane ySplit="1" topLeftCell="A2" activePane="bottomLeft" state="frozen"/>
      <selection pane="bottomLeft" activeCell="E30" sqref="E30"/>
    </sheetView>
  </sheetViews>
  <sheetFormatPr defaultRowHeight="14.5"/>
  <cols>
    <col min="1" max="1" width="1.90625" style="1" customWidth="1"/>
    <col min="2" max="2" width="25.7265625" style="1" customWidth="1"/>
    <col min="3" max="3" width="15.81640625" style="1" customWidth="1"/>
    <col min="4" max="4" width="17.81640625" style="1" customWidth="1"/>
    <col min="5" max="5" width="16.1796875" style="1" customWidth="1"/>
    <col min="6" max="6" width="16.6328125" style="1" customWidth="1"/>
    <col min="7" max="16384" width="8.7265625" style="1"/>
  </cols>
  <sheetData>
    <row r="1" spans="2:5">
      <c r="B1" s="2" t="s">
        <v>13</v>
      </c>
      <c r="C1" s="2" t="s">
        <v>30</v>
      </c>
      <c r="D1" s="2" t="s">
        <v>39</v>
      </c>
      <c r="E1" s="2" t="s">
        <v>35</v>
      </c>
    </row>
    <row r="2" spans="2:5">
      <c r="B2" s="1" t="s">
        <v>16</v>
      </c>
      <c r="C2" s="1" t="s">
        <v>17</v>
      </c>
      <c r="D2" s="1" t="s">
        <v>18</v>
      </c>
      <c r="E2" s="1" t="s">
        <v>32</v>
      </c>
    </row>
    <row r="3" spans="2:5">
      <c r="B3" s="1" t="s">
        <v>33</v>
      </c>
      <c r="C3" s="1">
        <v>2</v>
      </c>
      <c r="D3" s="1">
        <v>500</v>
      </c>
      <c r="E3" s="1" t="s">
        <v>31</v>
      </c>
    </row>
    <row r="4" spans="2:5">
      <c r="B4" s="1" t="s">
        <v>34</v>
      </c>
      <c r="C4" s="1">
        <v>2</v>
      </c>
      <c r="D4" s="1">
        <v>1500</v>
      </c>
      <c r="E4" s="1" t="s">
        <v>31</v>
      </c>
    </row>
    <row r="17" ht="40" customHeight="1"/>
    <row r="19" ht="18" customHeigh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!!readme!!</vt:lpstr>
      <vt:lpstr>_test_</vt:lpstr>
      <vt:lpstr>_weapon_</vt:lpstr>
      <vt:lpstr>_object_</vt:lpstr>
      <vt:lpstr>_meta_</vt:lpstr>
      <vt:lpstr>weaponDatabase</vt:lpstr>
      <vt:lpstr>objectDatabase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손형준</dc:creator>
  <cp:lastModifiedBy>손형준</cp:lastModifiedBy>
  <dcterms:created xsi:type="dcterms:W3CDTF">2023-10-31T14:58:01Z</dcterms:created>
  <dcterms:modified xsi:type="dcterms:W3CDTF">2023-12-28T07:24:24Z</dcterms:modified>
</cp:coreProperties>
</file>