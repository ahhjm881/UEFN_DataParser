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개발\UEFN_Py\"/>
    </mc:Choice>
  </mc:AlternateContent>
  <xr:revisionPtr revIDLastSave="0" documentId="13_ncr:1_{A325D0FD-F237-4073-82AC-2EDCB672BD24}" xr6:coauthVersionLast="47" xr6:coauthVersionMax="47" xr10:uidLastSave="{00000000-0000-0000-0000-000000000000}"/>
  <bookViews>
    <workbookView xWindow="-28920" yWindow="9075" windowWidth="29040" windowHeight="15720" activeTab="1" xr2:uid="{11D0F111-873D-472E-8C75-DA5A491DC945}"/>
  </bookViews>
  <sheets>
    <sheet name="!!readme!!" sheetId="9" r:id="rId1"/>
    <sheet name="_weapon_" sheetId="1" r:id="rId2"/>
    <sheet name="_object_" sheetId="11" r:id="rId3"/>
    <sheet name="_levelUnlock_" sheetId="8" r:id="rId4"/>
    <sheet name="_meta_" sheetId="2" r:id="rId5"/>
    <sheet name="weaponData" sheetId="5" r:id="rId6"/>
    <sheet name="objectData" sheetId="7" r:id="rId7"/>
    <sheet name="weaponDatabase" sheetId="3" r:id="rId8"/>
    <sheet name="objectDatabase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3" i="1"/>
  <c r="B4" i="11"/>
  <c r="B5" i="11"/>
  <c r="B6" i="11"/>
  <c r="B3" i="11"/>
  <c r="B4" i="8"/>
  <c r="B5" i="8"/>
  <c r="B6" i="8"/>
  <c r="B3" i="8"/>
  <c r="G4" i="7"/>
  <c r="G5" i="7"/>
  <c r="G6" i="7"/>
  <c r="G7" i="7"/>
  <c r="G8" i="7"/>
  <c r="G9" i="7"/>
  <c r="G10" i="7"/>
  <c r="G11" i="7"/>
  <c r="G12" i="7"/>
  <c r="H12" i="7" s="1"/>
  <c r="G13" i="7"/>
  <c r="H13" i="7" s="1"/>
  <c r="G14" i="7"/>
  <c r="H14" i="7" s="1"/>
  <c r="G15" i="7"/>
  <c r="H15" i="7" s="1"/>
  <c r="G16" i="7"/>
  <c r="G17" i="7"/>
  <c r="G18" i="7"/>
  <c r="G19" i="7"/>
  <c r="G20" i="7"/>
  <c r="G3" i="7"/>
  <c r="G4" i="5"/>
  <c r="G3" i="5"/>
  <c r="A4" i="8"/>
  <c r="A5" i="8"/>
  <c r="A6" i="8"/>
  <c r="A3" i="8"/>
  <c r="C7" i="7"/>
  <c r="F7" i="7"/>
  <c r="H7" i="7"/>
  <c r="C8" i="7"/>
  <c r="F8" i="7"/>
  <c r="H8" i="7"/>
  <c r="C9" i="7"/>
  <c r="F9" i="7"/>
  <c r="H9" i="7"/>
  <c r="C10" i="7"/>
  <c r="F10" i="7"/>
  <c r="H10" i="7"/>
  <c r="C11" i="7"/>
  <c r="F11" i="7"/>
  <c r="H11" i="7"/>
  <c r="C12" i="7"/>
  <c r="F12" i="7"/>
  <c r="C13" i="7"/>
  <c r="F13" i="7"/>
  <c r="C14" i="7"/>
  <c r="F14" i="7"/>
  <c r="C15" i="7"/>
  <c r="F15" i="7"/>
  <c r="C16" i="7"/>
  <c r="F16" i="7"/>
  <c r="H16" i="7"/>
  <c r="C17" i="7"/>
  <c r="F17" i="7"/>
  <c r="H17" i="7"/>
  <c r="C18" i="7"/>
  <c r="F18" i="7"/>
  <c r="H18" i="7"/>
  <c r="C19" i="7"/>
  <c r="F19" i="7"/>
  <c r="H19" i="7"/>
  <c r="C20" i="7"/>
  <c r="F20" i="7"/>
  <c r="H20" i="7"/>
  <c r="C11" i="6"/>
  <c r="C12" i="6"/>
  <c r="C13" i="6"/>
  <c r="C14" i="6"/>
  <c r="C15" i="6"/>
  <c r="C16" i="6"/>
  <c r="C17" i="6"/>
  <c r="C18" i="6"/>
  <c r="C19" i="6"/>
  <c r="C20" i="6"/>
  <c r="C10" i="6"/>
  <c r="H4" i="7"/>
  <c r="H5" i="7"/>
  <c r="H6" i="7"/>
  <c r="H3" i="7"/>
  <c r="C5" i="7"/>
  <c r="F5" i="7"/>
  <c r="C6" i="7"/>
  <c r="F6" i="7"/>
  <c r="C4" i="7"/>
  <c r="F4" i="7"/>
  <c r="E4" i="5"/>
  <c r="E3" i="5"/>
  <c r="C4" i="5"/>
  <c r="D4" i="5"/>
  <c r="F4" i="5"/>
  <c r="F3" i="5"/>
  <c r="D3" i="5"/>
  <c r="C3" i="5"/>
  <c r="H4" i="3"/>
  <c r="F3" i="7"/>
  <c r="C3" i="7"/>
  <c r="H3" i="3"/>
</calcChain>
</file>

<file path=xl/sharedStrings.xml><?xml version="1.0" encoding="utf-8"?>
<sst xmlns="http://schemas.openxmlformats.org/spreadsheetml/2006/main" count="103" uniqueCount="72">
  <si>
    <t>pistol</t>
  </si>
  <si>
    <t>string</t>
  </si>
  <si>
    <t>int</t>
  </si>
  <si>
    <t>verse 코드 생성 위치</t>
  </si>
  <si>
    <t>콘솔창 바로 닫기 여부</t>
  </si>
  <si>
    <t>delay</t>
  </si>
  <si>
    <t>base_damage</t>
  </si>
  <si>
    <t>base_dps</t>
  </si>
  <si>
    <t>Legendary</t>
  </si>
  <si>
    <t>Epic</t>
  </si>
  <si>
    <t>Combat SMG</t>
  </si>
  <si>
    <t>rarity</t>
  </si>
  <si>
    <t>rank</t>
  </si>
  <si>
    <t>name_eng</t>
  </si>
  <si>
    <t>name_kor</t>
  </si>
  <si>
    <t>전투 기관단총</t>
  </si>
  <si>
    <t>영문 이름(fortnite.gg)</t>
  </si>
  <si>
    <t>한글 이름(uefn 검색 기준)</t>
  </si>
  <si>
    <t>등급(fornite.gg)</t>
  </si>
  <si>
    <t>기본 DPS</t>
  </si>
  <si>
    <t>기본 데미지</t>
  </si>
  <si>
    <t>공격 딜레이</t>
  </si>
  <si>
    <t>id</t>
  </si>
  <si>
    <t>고유 id</t>
  </si>
  <si>
    <t>등급(uefn 기준)</t>
  </si>
  <si>
    <t>영문 이름</t>
  </si>
  <si>
    <t>destroyPerTime</t>
  </si>
  <si>
    <t>target_weapon_id</t>
  </si>
  <si>
    <t>target_weapon_dps</t>
  </si>
  <si>
    <t>목표 무기 id</t>
  </si>
  <si>
    <t>목표 무기의 dps</t>
  </si>
  <si>
    <t>target_weapon_name_eng</t>
  </si>
  <si>
    <t>목표 무기의 name(영어)</t>
  </si>
  <si>
    <t>object_hp</t>
  </si>
  <si>
    <t>계산된 object 체력</t>
  </si>
  <si>
    <t>파괴에 걸리는 시간(설정)</t>
  </si>
  <si>
    <t>Supperessed Pistol</t>
  </si>
  <si>
    <t>소음기 장착 권총</t>
  </si>
  <si>
    <t>레벨</t>
  </si>
  <si>
    <t>level</t>
  </si>
  <si>
    <t>level3_wall</t>
  </si>
  <si>
    <t>level2_wall</t>
  </si>
  <si>
    <t>level1_wall</t>
  </si>
  <si>
    <t>level4_wall</t>
  </si>
  <si>
    <t>level5_wall</t>
  </si>
  <si>
    <t>level6_wall</t>
  </si>
  <si>
    <t>level7_wall</t>
  </si>
  <si>
    <t>https://fortnite.gg/weapons</t>
  </si>
  <si>
    <t>field</t>
  </si>
  <si>
    <t>DPS</t>
  </si>
  <si>
    <t>key</t>
  </si>
  <si>
    <t>moneyPerShoot</t>
  </si>
  <si>
    <t>buyCost</t>
  </si>
  <si>
    <t>파싱될 sheet는 다음과 같은 형식을 따라야 합니다. "_{sheetName}_", 예: "_itemData_"</t>
  </si>
  <si>
    <t>_meta_ 파일은 삭제되어서는 안 됩니다.</t>
  </si>
  <si>
    <t>파싱될 sheet의 첫번째와 두번째 열은 fieldName, key 로 고정입니다.
지정될 변수 이름과 map에 지정될 key 값에 해당하는 필드입니다.</t>
  </si>
  <si>
    <t>fieldName과 key 이외에는 열을 마음대로 늘리고 줄일 수 있습니다.</t>
  </si>
  <si>
    <t>파싱될 sheet 또한 여러 개 일 수 있습니다.</t>
  </si>
  <si>
    <t>"Verse 코드로 파싱" 버튼을 누르면 현재 엑셀 파일이 저장됩니다.</t>
  </si>
  <si>
    <t>가능한 field 타입은 다음과 같습니다. Int, float, logic(bool), string</t>
  </si>
  <si>
    <t>_meta_ sheet에서 경로를 본인 환경에서 제대로 지정해주어야 정상적으로 verse코드가 생성됩니다.</t>
  </si>
  <si>
    <t>C:\Users\SonHyeongJun\Documents\Fortnite Projects\NotFreshFish_DOOMProject\Plugins\NotFreshFish_DOOMProject\Content</t>
  </si>
  <si>
    <t>verse로 파싱되는 FieldName은 강제로 파스칼 케이스로 변환됩니다.</t>
  </si>
  <si>
    <t>index</t>
  </si>
  <si>
    <t>또한 map에 설정되는 key는 변환되지 않습니다.</t>
  </si>
  <si>
    <t>obj1</t>
  </si>
  <si>
    <t>obj2</t>
  </si>
  <si>
    <t>obj3</t>
  </si>
  <si>
    <t>obj4</t>
  </si>
  <si>
    <t>smg</t>
  </si>
  <si>
    <t>minigun</t>
  </si>
  <si>
    <t>lmg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</si>
</sst>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129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2" fillId="2" borderId="0" xfId="1" applyAlignment="1">
      <alignment horizontal="center"/>
    </xf>
    <xf numFmtId="0" fontId="2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</cellXfs>
  <cellStyles count="2">
    <cellStyle name="20% - 강조색1" xfId="1" builtinId="3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destroy</a:t>
            </a:r>
            <a:r>
              <a:rPr lang="en-US" altLang="ko-KR" baseline="0"/>
              <a:t> time</a:t>
            </a:r>
            <a:r>
              <a:rPr lang="ko-KR" altLang="en-US" baseline="0"/>
              <a:t>과 </a:t>
            </a:r>
            <a:r>
              <a:rPr lang="en-US" altLang="ko-KR" baseline="0"/>
              <a:t>object </a:t>
            </a:r>
            <a:r>
              <a:rPr lang="ko-KR" altLang="en-US" baseline="0"/>
              <a:t>체력 관계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52228341526189"/>
          <c:y val="0.15659955257270694"/>
          <c:w val="0.72127936731765763"/>
          <c:h val="0.679775893397940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objectData!$H$2</c:f>
              <c:strCache>
                <c:ptCount val="1"/>
                <c:pt idx="0">
                  <c:v>object_hp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objectData!$D$3:$D$20</c:f>
              <c:numCache>
                <c:formatCode>General</c:formatCode>
                <c:ptCount val="18"/>
                <c:pt idx="0">
                  <c:v>60</c:v>
                </c:pt>
                <c:pt idx="1">
                  <c:v>70</c:v>
                </c:pt>
                <c:pt idx="2">
                  <c:v>80</c:v>
                </c:pt>
                <c:pt idx="3">
                  <c:v>90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130</c:v>
                </c:pt>
                <c:pt idx="8">
                  <c:v>140</c:v>
                </c:pt>
                <c:pt idx="9">
                  <c:v>150</c:v>
                </c:pt>
                <c:pt idx="10">
                  <c:v>160</c:v>
                </c:pt>
                <c:pt idx="11">
                  <c:v>170</c:v>
                </c:pt>
                <c:pt idx="12">
                  <c:v>180</c:v>
                </c:pt>
                <c:pt idx="13">
                  <c:v>190</c:v>
                </c:pt>
                <c:pt idx="14">
                  <c:v>200</c:v>
                </c:pt>
                <c:pt idx="15">
                  <c:v>210</c:v>
                </c:pt>
                <c:pt idx="16">
                  <c:v>220</c:v>
                </c:pt>
                <c:pt idx="17">
                  <c:v>230</c:v>
                </c:pt>
              </c:numCache>
            </c:numRef>
          </c:cat>
          <c:val>
            <c:numRef>
              <c:f>objectData!$H$3:$H$20</c:f>
              <c:numCache>
                <c:formatCode>General</c:formatCode>
                <c:ptCount val="18"/>
                <c:pt idx="0">
                  <c:v>1620</c:v>
                </c:pt>
                <c:pt idx="1">
                  <c:v>1890</c:v>
                </c:pt>
                <c:pt idx="2">
                  <c:v>1760</c:v>
                </c:pt>
                <c:pt idx="3">
                  <c:v>1980</c:v>
                </c:pt>
                <c:pt idx="4">
                  <c:v>2200</c:v>
                </c:pt>
                <c:pt idx="5">
                  <c:v>2420</c:v>
                </c:pt>
                <c:pt idx="6">
                  <c:v>2640</c:v>
                </c:pt>
                <c:pt idx="7">
                  <c:v>2860</c:v>
                </c:pt>
                <c:pt idx="8">
                  <c:v>3080</c:v>
                </c:pt>
                <c:pt idx="9">
                  <c:v>3300</c:v>
                </c:pt>
                <c:pt idx="10">
                  <c:v>3520</c:v>
                </c:pt>
                <c:pt idx="11">
                  <c:v>3740</c:v>
                </c:pt>
                <c:pt idx="12">
                  <c:v>3960</c:v>
                </c:pt>
                <c:pt idx="13">
                  <c:v>4180</c:v>
                </c:pt>
                <c:pt idx="14">
                  <c:v>4400</c:v>
                </c:pt>
                <c:pt idx="15">
                  <c:v>4620</c:v>
                </c:pt>
                <c:pt idx="16">
                  <c:v>4840</c:v>
                </c:pt>
                <c:pt idx="17">
                  <c:v>5060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6B-4A52-A6E3-AD91E28E6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4033760"/>
        <c:axId val="1194030160"/>
      </c:barChart>
      <c:lineChart>
        <c:grouping val="standard"/>
        <c:varyColors val="0"/>
        <c:ser>
          <c:idx val="1"/>
          <c:order val="1"/>
          <c:tx>
            <c:strRef>
              <c:f>objectData!$D$2</c:f>
              <c:strCache>
                <c:ptCount val="1"/>
                <c:pt idx="0">
                  <c:v>destroyPerTime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objectData!$D$3:$D$20</c:f>
              <c:numCache>
                <c:formatCode>General</c:formatCode>
                <c:ptCount val="18"/>
                <c:pt idx="0">
                  <c:v>60</c:v>
                </c:pt>
                <c:pt idx="1">
                  <c:v>70</c:v>
                </c:pt>
                <c:pt idx="2">
                  <c:v>80</c:v>
                </c:pt>
                <c:pt idx="3">
                  <c:v>90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130</c:v>
                </c:pt>
                <c:pt idx="8">
                  <c:v>140</c:v>
                </c:pt>
                <c:pt idx="9">
                  <c:v>150</c:v>
                </c:pt>
                <c:pt idx="10">
                  <c:v>160</c:v>
                </c:pt>
                <c:pt idx="11">
                  <c:v>170</c:v>
                </c:pt>
                <c:pt idx="12">
                  <c:v>180</c:v>
                </c:pt>
                <c:pt idx="13">
                  <c:v>190</c:v>
                </c:pt>
                <c:pt idx="14">
                  <c:v>200</c:v>
                </c:pt>
                <c:pt idx="15">
                  <c:v>210</c:v>
                </c:pt>
                <c:pt idx="16">
                  <c:v>220</c:v>
                </c:pt>
                <c:pt idx="17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6B-4A52-A6E3-AD91E28E6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3070448"/>
        <c:axId val="1533068648"/>
      </c:lineChart>
      <c:catAx>
        <c:axId val="11940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destroyPerTime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4286111111111115"/>
              <c:y val="0.913290598290598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030160"/>
        <c:crosses val="autoZero"/>
        <c:auto val="1"/>
        <c:lblAlgn val="ctr"/>
        <c:lblOffset val="100"/>
        <c:noMultiLvlLbl val="0"/>
      </c:catAx>
      <c:valAx>
        <c:axId val="119403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object hp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033760"/>
        <c:crosses val="autoZero"/>
        <c:crossBetween val="between"/>
      </c:valAx>
      <c:valAx>
        <c:axId val="15330686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3070448"/>
        <c:crosses val="max"/>
        <c:crossBetween val="between"/>
      </c:valAx>
      <c:catAx>
        <c:axId val="1533070448"/>
        <c:scaling>
          <c:orientation val="minMax"/>
        </c:scaling>
        <c:delete val="1"/>
        <c:axPos val="b"/>
        <c:majorTickMark val="out"/>
        <c:minorTickMark val="none"/>
        <c:tickLblPos val="nextTo"/>
        <c:crossAx val="15330686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539750</xdr:colOff>
          <xdr:row>2</xdr:row>
          <xdr:rowOff>88900</xdr:rowOff>
        </xdr:from>
        <xdr:to>
          <xdr:col>19</xdr:col>
          <xdr:colOff>228600</xdr:colOff>
          <xdr:row>8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539750</xdr:colOff>
          <xdr:row>2</xdr:row>
          <xdr:rowOff>88900</xdr:rowOff>
        </xdr:from>
        <xdr:to>
          <xdr:col>17</xdr:col>
          <xdr:colOff>228600</xdr:colOff>
          <xdr:row>8</xdr:row>
          <xdr:rowOff>50800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B5716885-E8AE-4C14-9589-222C49A35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539750</xdr:colOff>
          <xdr:row>2</xdr:row>
          <xdr:rowOff>88900</xdr:rowOff>
        </xdr:from>
        <xdr:to>
          <xdr:col>19</xdr:col>
          <xdr:colOff>228600</xdr:colOff>
          <xdr:row>8</xdr:row>
          <xdr:rowOff>50800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314324</xdr:colOff>
      <xdr:row>5</xdr:row>
      <xdr:rowOff>127000</xdr:rowOff>
    </xdr:from>
    <xdr:to>
      <xdr:col>19</xdr:col>
      <xdr:colOff>387350</xdr:colOff>
      <xdr:row>21</xdr:row>
      <xdr:rowOff>152400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3A06-A721-4C1D-81A3-0D7CC3607AD0}">
  <dimension ref="A2:A12"/>
  <sheetViews>
    <sheetView workbookViewId="0">
      <selection activeCell="A13" sqref="A13"/>
    </sheetView>
  </sheetViews>
  <sheetFormatPr defaultRowHeight="14.5"/>
  <cols>
    <col min="1" max="1" width="108" customWidth="1"/>
  </cols>
  <sheetData>
    <row r="2" spans="1:1">
      <c r="A2" t="s">
        <v>53</v>
      </c>
    </row>
    <row r="3" spans="1:1">
      <c r="A3" t="s">
        <v>54</v>
      </c>
    </row>
    <row r="4" spans="1:1" ht="29">
      <c r="A4" s="5" t="s">
        <v>55</v>
      </c>
    </row>
    <row r="5" spans="1:1">
      <c r="A5" t="s">
        <v>56</v>
      </c>
    </row>
    <row r="6" spans="1:1">
      <c r="A6" t="s">
        <v>57</v>
      </c>
    </row>
    <row r="7" spans="1:1">
      <c r="A7" t="s">
        <v>58</v>
      </c>
    </row>
    <row r="8" spans="1:1">
      <c r="A8" t="s">
        <v>59</v>
      </c>
    </row>
    <row r="9" spans="1:1">
      <c r="A9" t="s">
        <v>60</v>
      </c>
    </row>
    <row r="11" spans="1:1">
      <c r="A11" t="s">
        <v>62</v>
      </c>
    </row>
    <row r="12" spans="1:1">
      <c r="A12" t="s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16A5-D15F-4827-B7E3-6FA62E32172F}">
  <sheetPr codeName="Sheet1"/>
  <dimension ref="A1:E6"/>
  <sheetViews>
    <sheetView tabSelected="1" workbookViewId="0">
      <selection activeCell="S2" sqref="S2"/>
    </sheetView>
  </sheetViews>
  <sheetFormatPr defaultRowHeight="14.5"/>
  <cols>
    <col min="1" max="1" width="13.08984375" customWidth="1"/>
    <col min="2" max="3" width="14.08984375" customWidth="1"/>
    <col min="4" max="4" width="16" customWidth="1"/>
  </cols>
  <sheetData>
    <row r="1" spans="1:5">
      <c r="A1" t="s">
        <v>48</v>
      </c>
      <c r="B1" t="s">
        <v>50</v>
      </c>
      <c r="C1" t="s">
        <v>63</v>
      </c>
      <c r="D1" t="s">
        <v>51</v>
      </c>
      <c r="E1" t="s">
        <v>52</v>
      </c>
    </row>
    <row r="2" spans="1:5">
      <c r="A2" t="s">
        <v>1</v>
      </c>
      <c r="B2" t="s">
        <v>1</v>
      </c>
      <c r="C2" t="s">
        <v>2</v>
      </c>
      <c r="D2" t="s">
        <v>2</v>
      </c>
      <c r="E2" t="s">
        <v>2</v>
      </c>
    </row>
    <row r="3" spans="1:5">
      <c r="A3" t="s">
        <v>0</v>
      </c>
      <c r="B3" t="str">
        <f>A3</f>
        <v>pistol</v>
      </c>
      <c r="C3">
        <v>0</v>
      </c>
      <c r="D3">
        <v>1</v>
      </c>
      <c r="E3">
        <v>10</v>
      </c>
    </row>
    <row r="4" spans="1:5">
      <c r="A4" t="s">
        <v>69</v>
      </c>
      <c r="B4" t="str">
        <f t="shared" ref="B4:B6" si="0">A4</f>
        <v>smg</v>
      </c>
      <c r="C4">
        <v>1</v>
      </c>
      <c r="D4">
        <v>2</v>
      </c>
      <c r="E4">
        <v>20</v>
      </c>
    </row>
    <row r="5" spans="1:5">
      <c r="A5" t="s">
        <v>70</v>
      </c>
      <c r="B5" t="str">
        <f t="shared" si="0"/>
        <v>minigun</v>
      </c>
      <c r="C5">
        <v>2</v>
      </c>
      <c r="D5">
        <v>3</v>
      </c>
      <c r="E5">
        <v>30</v>
      </c>
    </row>
    <row r="6" spans="1:5">
      <c r="A6" t="s">
        <v>71</v>
      </c>
      <c r="B6" t="str">
        <f t="shared" si="0"/>
        <v>lmg</v>
      </c>
      <c r="C6">
        <v>3</v>
      </c>
      <c r="D6">
        <v>4</v>
      </c>
      <c r="E6">
        <v>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">
                <anchor moveWithCells="1" sizeWithCells="1">
                  <from>
                    <xdr:col>16</xdr:col>
                    <xdr:colOff>539750</xdr:colOff>
                    <xdr:row>2</xdr:row>
                    <xdr:rowOff>88900</xdr:rowOff>
                  </from>
                  <to>
                    <xdr:col>19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5903E-E795-465B-AD0B-A26815751D15}">
  <sheetPr codeName="Sheet3"/>
  <dimension ref="A1:C6"/>
  <sheetViews>
    <sheetView workbookViewId="0">
      <selection activeCell="D26" sqref="D26"/>
    </sheetView>
  </sheetViews>
  <sheetFormatPr defaultRowHeight="14.5"/>
  <cols>
    <col min="1" max="2" width="13.08984375" customWidth="1"/>
    <col min="3" max="3" width="16" customWidth="1"/>
  </cols>
  <sheetData>
    <row r="1" spans="1:3">
      <c r="A1" t="s">
        <v>48</v>
      </c>
      <c r="B1" t="s">
        <v>50</v>
      </c>
      <c r="C1" t="s">
        <v>51</v>
      </c>
    </row>
    <row r="2" spans="1:3">
      <c r="A2" t="s">
        <v>1</v>
      </c>
      <c r="B2" t="s">
        <v>1</v>
      </c>
      <c r="C2" t="s">
        <v>2</v>
      </c>
    </row>
    <row r="3" spans="1:3">
      <c r="A3" t="s">
        <v>65</v>
      </c>
      <c r="B3" t="str">
        <f>A3</f>
        <v>obj1</v>
      </c>
      <c r="C3">
        <v>1</v>
      </c>
    </row>
    <row r="4" spans="1:3">
      <c r="A4" t="s">
        <v>66</v>
      </c>
      <c r="B4" t="str">
        <f t="shared" ref="B4:B6" si="0">A4</f>
        <v>obj2</v>
      </c>
      <c r="C4">
        <v>2</v>
      </c>
    </row>
    <row r="5" spans="1:3">
      <c r="A5" t="s">
        <v>67</v>
      </c>
      <c r="B5" t="str">
        <f t="shared" si="0"/>
        <v>obj3</v>
      </c>
      <c r="C5">
        <v>3</v>
      </c>
    </row>
    <row r="6" spans="1:3">
      <c r="A6" t="s">
        <v>68</v>
      </c>
      <c r="B6" t="str">
        <f t="shared" si="0"/>
        <v>obj4</v>
      </c>
      <c r="C6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539750</xdr:colOff>
                    <xdr:row>2</xdr:row>
                    <xdr:rowOff>88900</xdr:rowOff>
                  </from>
                  <to>
                    <xdr:col>17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3EC91-EE6D-4A6C-8D87-2A768EC2ADD9}">
  <sheetPr codeName="Sheet2"/>
  <dimension ref="A1:C6"/>
  <sheetViews>
    <sheetView workbookViewId="0">
      <selection activeCell="E23" sqref="E23"/>
    </sheetView>
  </sheetViews>
  <sheetFormatPr defaultRowHeight="14.5"/>
  <cols>
    <col min="3" max="3" width="15.453125" customWidth="1"/>
  </cols>
  <sheetData>
    <row r="1" spans="1:3">
      <c r="A1" t="s">
        <v>48</v>
      </c>
      <c r="B1" t="s">
        <v>50</v>
      </c>
      <c r="C1" t="s">
        <v>52</v>
      </c>
    </row>
    <row r="2" spans="1:3">
      <c r="A2" t="s">
        <v>1</v>
      </c>
      <c r="B2" t="s">
        <v>1</v>
      </c>
      <c r="C2" t="s">
        <v>2</v>
      </c>
    </row>
    <row r="3" spans="1:3">
      <c r="A3" t="str">
        <f>"level"&amp;ROW()-2</f>
        <v>level1</v>
      </c>
      <c r="B3" t="str">
        <f>A3</f>
        <v>level1</v>
      </c>
      <c r="C3">
        <v>500</v>
      </c>
    </row>
    <row r="4" spans="1:3">
      <c r="A4" t="str">
        <f t="shared" ref="A4:A16" si="0">"level"&amp;ROW()-2</f>
        <v>level2</v>
      </c>
      <c r="B4" t="str">
        <f t="shared" ref="B4:B16" si="1">A4</f>
        <v>level2</v>
      </c>
      <c r="C4">
        <v>1000</v>
      </c>
    </row>
    <row r="5" spans="1:3">
      <c r="A5" t="str">
        <f t="shared" si="0"/>
        <v>level3</v>
      </c>
      <c r="B5" t="str">
        <f t="shared" si="1"/>
        <v>level3</v>
      </c>
      <c r="C5">
        <v>1500</v>
      </c>
    </row>
    <row r="6" spans="1:3">
      <c r="A6" t="str">
        <f t="shared" si="0"/>
        <v>level4</v>
      </c>
      <c r="B6" t="str">
        <f t="shared" si="1"/>
        <v>level4</v>
      </c>
      <c r="C6">
        <v>2000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sv">
                <anchor moveWithCells="1" sizeWithCells="1">
                  <from>
                    <xdr:col>16</xdr:col>
                    <xdr:colOff>539750</xdr:colOff>
                    <xdr:row>2</xdr:row>
                    <xdr:rowOff>88900</xdr:rowOff>
                  </from>
                  <to>
                    <xdr:col>19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3C4BF-D85E-4E98-BA16-BB5B8467B496}">
  <dimension ref="A1:B2"/>
  <sheetViews>
    <sheetView workbookViewId="0">
      <selection activeCell="B3" sqref="B3"/>
    </sheetView>
  </sheetViews>
  <sheetFormatPr defaultRowHeight="14.5"/>
  <cols>
    <col min="1" max="1" width="46.1796875" customWidth="1"/>
  </cols>
  <sheetData>
    <row r="1" spans="1:2">
      <c r="A1" t="s">
        <v>3</v>
      </c>
      <c r="B1" t="s">
        <v>61</v>
      </c>
    </row>
    <row r="2" spans="1:2">
      <c r="A2" t="s">
        <v>4</v>
      </c>
      <c r="B2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D3AAF-53A6-4315-9582-347EA705E5C7}">
  <dimension ref="B1:G4"/>
  <sheetViews>
    <sheetView workbookViewId="0">
      <pane ySplit="1" topLeftCell="A2" activePane="bottomLeft" state="frozen"/>
      <selection pane="bottomLeft" activeCell="G17" sqref="G17"/>
    </sheetView>
  </sheetViews>
  <sheetFormatPr defaultRowHeight="14.5"/>
  <cols>
    <col min="1" max="1" width="3.26953125" style="1" customWidth="1"/>
    <col min="2" max="2" width="10.54296875" style="1" customWidth="1"/>
    <col min="3" max="3" width="24.7265625" style="1" customWidth="1"/>
    <col min="4" max="4" width="29" style="1" customWidth="1"/>
    <col min="5" max="5" width="20.1796875" style="1" customWidth="1"/>
    <col min="6" max="6" width="17.7265625" style="1" customWidth="1"/>
    <col min="7" max="7" width="23" style="1" customWidth="1"/>
    <col min="8" max="8" width="17.36328125" style="1" customWidth="1"/>
    <col min="9" max="9" width="34.1796875" style="1" customWidth="1"/>
    <col min="10" max="16384" width="8.7265625" style="1"/>
  </cols>
  <sheetData>
    <row r="1" spans="2:7">
      <c r="B1" s="2" t="s">
        <v>23</v>
      </c>
      <c r="C1" s="2" t="s">
        <v>16</v>
      </c>
      <c r="D1" s="2" t="s">
        <v>17</v>
      </c>
      <c r="E1" s="2" t="s">
        <v>24</v>
      </c>
      <c r="F1" s="2" t="s">
        <v>20</v>
      </c>
      <c r="G1" s="2" t="s">
        <v>49</v>
      </c>
    </row>
    <row r="2" spans="2:7">
      <c r="B2" s="1" t="s">
        <v>22</v>
      </c>
      <c r="C2" s="1" t="s">
        <v>13</v>
      </c>
      <c r="D2" s="1" t="s">
        <v>14</v>
      </c>
      <c r="E2" s="1" t="s">
        <v>12</v>
      </c>
      <c r="F2" s="1" t="s">
        <v>6</v>
      </c>
      <c r="G2" s="1" t="s">
        <v>7</v>
      </c>
    </row>
    <row r="3" spans="2:7">
      <c r="B3" s="1">
        <v>1</v>
      </c>
      <c r="C3" s="1" t="str">
        <f>VLOOKUP($B3,weaponDatabase!$B:$H,2,1)</f>
        <v>Combat SMG</v>
      </c>
      <c r="D3" s="1" t="str">
        <f>VLOOKUP($B3,weaponDatabase!$B:$H,3,1)</f>
        <v>전투 기관단총</v>
      </c>
      <c r="E3" s="1" t="str">
        <f>IF(VLOOKUP($B3,weaponDatabase!$B:$H,4,1)="Common","L1",IF(VLOOKUP($B3,weaponDatabase!$B:$H,4,1)="Uncommon","L2",IF(VLOOKUP($B3,weaponDatabase!$B:$H,4,1)="Rare","L3",IF(VLOOKUP($B3,weaponDatabase!$B:$H,4,1)="Epic","L4",IF(VLOOKUP($B3,weaponDatabase!$B:$H,4,1)="Legendary","L5","Error")))))</f>
        <v>L5</v>
      </c>
      <c r="F3" s="1">
        <f>VLOOKUP($B3,weaponDatabase!$B:$H,6,1)</f>
        <v>22</v>
      </c>
      <c r="G3" s="1">
        <f>VLOOKUP($B3,weaponDatabase!$B:$H,5,1)</f>
        <v>264</v>
      </c>
    </row>
    <row r="4" spans="2:7">
      <c r="B4" s="1">
        <v>2</v>
      </c>
      <c r="C4" s="1" t="str">
        <f>VLOOKUP($B4,weaponDatabase!$B:$H,2,1)</f>
        <v>Supperessed Pistol</v>
      </c>
      <c r="D4" s="1" t="str">
        <f>VLOOKUP($B4,weaponDatabase!$B:$H,3,1)</f>
        <v>소음기 장착 권총</v>
      </c>
      <c r="E4" s="1" t="str">
        <f>IF(VLOOKUP($B4,weaponDatabase!$B:$H,4,1)="Common","L1",IF(VLOOKUP($B4,weaponDatabase!$B:$H,4,1)="Uncommon","L2",IF(VLOOKUP($B4,weaponDatabase!$B:$H,4,1)="Rare","L3",IF(VLOOKUP($B4,weaponDatabase!$B:$H,4,1)="Epic","L4",IF(VLOOKUP($B4,weaponDatabase!$B:$H,4,1)="Legendary","L5","Error")))))</f>
        <v>L4</v>
      </c>
      <c r="F4" s="1">
        <f>VLOOKUP($B4,weaponDatabase!$B:$H,6,1)</f>
        <v>27</v>
      </c>
      <c r="G4" s="1">
        <f>VLOOKUP($B4,weaponDatabase!$B:$H,5,1)</f>
        <v>182.25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D4A9B-C907-4BDB-A759-BB0E689CB9B3}">
  <dimension ref="B1:H20"/>
  <sheetViews>
    <sheetView workbookViewId="0">
      <pane ySplit="1" topLeftCell="A2" activePane="bottomLeft" state="frozen"/>
      <selection pane="bottomLeft" activeCell="C3" sqref="C3"/>
    </sheetView>
  </sheetViews>
  <sheetFormatPr defaultRowHeight="14.5"/>
  <cols>
    <col min="1" max="1" width="2.7265625" style="4" customWidth="1"/>
    <col min="2" max="2" width="8.7265625" style="4" customWidth="1"/>
    <col min="3" max="3" width="21.81640625" style="4" customWidth="1"/>
    <col min="4" max="4" width="26.6328125" style="4" customWidth="1"/>
    <col min="5" max="5" width="17.7265625" style="4" customWidth="1"/>
    <col min="6" max="6" width="24.08984375" style="4" customWidth="1"/>
    <col min="7" max="7" width="22.26953125" style="4" customWidth="1"/>
    <col min="8" max="8" width="23.81640625" style="4" customWidth="1"/>
    <col min="9" max="16384" width="8.7265625" style="4"/>
  </cols>
  <sheetData>
    <row r="1" spans="2:8">
      <c r="B1" s="3" t="s">
        <v>23</v>
      </c>
      <c r="C1" s="3" t="s">
        <v>25</v>
      </c>
      <c r="D1" s="3" t="s">
        <v>35</v>
      </c>
      <c r="E1" s="3" t="s">
        <v>29</v>
      </c>
      <c r="F1" s="3" t="s">
        <v>32</v>
      </c>
      <c r="G1" s="3" t="s">
        <v>30</v>
      </c>
      <c r="H1" s="3" t="s">
        <v>34</v>
      </c>
    </row>
    <row r="2" spans="2:8">
      <c r="B2" s="4" t="s">
        <v>22</v>
      </c>
      <c r="C2" s="4" t="s">
        <v>13</v>
      </c>
      <c r="D2" s="4" t="s">
        <v>26</v>
      </c>
      <c r="E2" s="4" t="s">
        <v>27</v>
      </c>
      <c r="F2" s="4" t="s">
        <v>31</v>
      </c>
      <c r="G2" s="4" t="s">
        <v>28</v>
      </c>
      <c r="H2" s="4" t="s">
        <v>33</v>
      </c>
    </row>
    <row r="3" spans="2:8">
      <c r="B3" s="4">
        <v>1</v>
      </c>
      <c r="C3" s="4" t="str">
        <f>VLOOKUP(B3,objectDatabase!B:C,2,1)</f>
        <v>level1_wall</v>
      </c>
      <c r="D3" s="4">
        <v>60</v>
      </c>
      <c r="E3" s="4">
        <v>2</v>
      </c>
      <c r="F3" s="4" t="str">
        <f>VLOOKUP(E3,weaponDatabase!$B:$H,2,1)</f>
        <v>Supperessed Pistol</v>
      </c>
      <c r="G3" s="4">
        <f>VLOOKUP(E3,weaponData!$B:$H,5,1)</f>
        <v>27</v>
      </c>
      <c r="H3" s="4">
        <f>G3*D3</f>
        <v>1620</v>
      </c>
    </row>
    <row r="4" spans="2:8">
      <c r="B4" s="4">
        <v>2</v>
      </c>
      <c r="C4" s="4" t="str">
        <f>VLOOKUP(B4,objectDatabase!B:C,2,1)</f>
        <v>level2_wall</v>
      </c>
      <c r="D4" s="4">
        <v>70</v>
      </c>
      <c r="E4" s="4">
        <v>2</v>
      </c>
      <c r="F4" s="4" t="str">
        <f>VLOOKUP(E4,weaponDatabase!$B:$H,2,1)</f>
        <v>Supperessed Pistol</v>
      </c>
      <c r="G4" s="4">
        <f>VLOOKUP(E4,weaponData!$B:$H,5,1)</f>
        <v>27</v>
      </c>
      <c r="H4" s="4">
        <f>G4*D4</f>
        <v>1890</v>
      </c>
    </row>
    <row r="5" spans="2:8">
      <c r="B5" s="4">
        <v>3</v>
      </c>
      <c r="C5" s="4" t="str">
        <f>VLOOKUP(B5,objectDatabase!B:C,2,1)</f>
        <v>level3_wall</v>
      </c>
      <c r="D5" s="4">
        <v>80</v>
      </c>
      <c r="E5" s="4">
        <v>1</v>
      </c>
      <c r="F5" s="4" t="str">
        <f>VLOOKUP(E5,weaponDatabase!$B:$H,2,1)</f>
        <v>Combat SMG</v>
      </c>
      <c r="G5" s="4">
        <f>VLOOKUP(E5,weaponData!$B:$H,5,1)</f>
        <v>22</v>
      </c>
      <c r="H5" s="4">
        <f t="shared" ref="H5:H6" si="0">G5*D5</f>
        <v>1760</v>
      </c>
    </row>
    <row r="6" spans="2:8">
      <c r="B6" s="4">
        <v>4</v>
      </c>
      <c r="C6" s="4" t="str">
        <f>VLOOKUP(B6,objectDatabase!B:C,2,1)</f>
        <v>level4_wall</v>
      </c>
      <c r="D6" s="4">
        <v>90</v>
      </c>
      <c r="E6" s="4">
        <v>1</v>
      </c>
      <c r="F6" s="4" t="str">
        <f>VLOOKUP(E6,weaponDatabase!$B:$H,2,1)</f>
        <v>Combat SMG</v>
      </c>
      <c r="G6" s="4">
        <f>VLOOKUP(E6,weaponData!$B:$H,5,1)</f>
        <v>22</v>
      </c>
      <c r="H6" s="4">
        <f t="shared" si="0"/>
        <v>1980</v>
      </c>
    </row>
    <row r="7" spans="2:8">
      <c r="B7" s="4">
        <v>5</v>
      </c>
      <c r="C7" s="4" t="str">
        <f>VLOOKUP(B7,objectDatabase!B:C,2,1)</f>
        <v>level5_wall</v>
      </c>
      <c r="D7" s="4">
        <v>100</v>
      </c>
      <c r="E7" s="4">
        <v>1</v>
      </c>
      <c r="F7" s="4" t="str">
        <f>VLOOKUP(E7,weaponDatabase!$B:$H,2,1)</f>
        <v>Combat SMG</v>
      </c>
      <c r="G7" s="4">
        <f>VLOOKUP(E7,weaponData!$B:$H,5,1)</f>
        <v>22</v>
      </c>
      <c r="H7" s="4">
        <f t="shared" ref="H7:H20" si="1">G7*D7</f>
        <v>2200</v>
      </c>
    </row>
    <row r="8" spans="2:8">
      <c r="B8" s="4">
        <v>6</v>
      </c>
      <c r="C8" s="4" t="str">
        <f>VLOOKUP(B8,objectDatabase!B:C,2,1)</f>
        <v>level6_wall</v>
      </c>
      <c r="D8" s="4">
        <v>110</v>
      </c>
      <c r="E8" s="4">
        <v>1</v>
      </c>
      <c r="F8" s="4" t="str">
        <f>VLOOKUP(E8,weaponDatabase!$B:$H,2,1)</f>
        <v>Combat SMG</v>
      </c>
      <c r="G8" s="4">
        <f>VLOOKUP(E8,weaponData!$B:$H,5,1)</f>
        <v>22</v>
      </c>
      <c r="H8" s="4">
        <f t="shared" si="1"/>
        <v>2420</v>
      </c>
    </row>
    <row r="9" spans="2:8">
      <c r="B9" s="4">
        <v>7</v>
      </c>
      <c r="C9" s="4" t="str">
        <f>VLOOKUP(B9,objectDatabase!B:C,2,1)</f>
        <v>level7_wall</v>
      </c>
      <c r="D9" s="4">
        <v>120</v>
      </c>
      <c r="E9" s="4">
        <v>1</v>
      </c>
      <c r="F9" s="4" t="str">
        <f>VLOOKUP(E9,weaponDatabase!$B:$H,2,1)</f>
        <v>Combat SMG</v>
      </c>
      <c r="G9" s="4">
        <f>VLOOKUP(E9,weaponData!$B:$H,5,1)</f>
        <v>22</v>
      </c>
      <c r="H9" s="4">
        <f t="shared" si="1"/>
        <v>2640</v>
      </c>
    </row>
    <row r="10" spans="2:8">
      <c r="B10" s="4">
        <v>8</v>
      </c>
      <c r="C10" s="4" t="str">
        <f>VLOOKUP(B10,objectDatabase!B:C,2,1)</f>
        <v>level8_wall</v>
      </c>
      <c r="D10" s="4">
        <v>130</v>
      </c>
      <c r="E10" s="4">
        <v>1</v>
      </c>
      <c r="F10" s="4" t="str">
        <f>VLOOKUP(E10,weaponDatabase!$B:$H,2,1)</f>
        <v>Combat SMG</v>
      </c>
      <c r="G10" s="4">
        <f>VLOOKUP(E10,weaponData!$B:$H,5,1)</f>
        <v>22</v>
      </c>
      <c r="H10" s="4">
        <f t="shared" si="1"/>
        <v>2860</v>
      </c>
    </row>
    <row r="11" spans="2:8">
      <c r="B11" s="4">
        <v>9</v>
      </c>
      <c r="C11" s="4" t="str">
        <f>VLOOKUP(B11,objectDatabase!B:C,2,1)</f>
        <v>level9_wall</v>
      </c>
      <c r="D11" s="4">
        <v>140</v>
      </c>
      <c r="E11" s="4">
        <v>1</v>
      </c>
      <c r="F11" s="4" t="str">
        <f>VLOOKUP(E11,weaponDatabase!$B:$H,2,1)</f>
        <v>Combat SMG</v>
      </c>
      <c r="G11" s="4">
        <f>VLOOKUP(E11,weaponData!$B:$H,5,1)</f>
        <v>22</v>
      </c>
      <c r="H11" s="4">
        <f t="shared" si="1"/>
        <v>3080</v>
      </c>
    </row>
    <row r="12" spans="2:8">
      <c r="B12" s="4">
        <v>10</v>
      </c>
      <c r="C12" s="4" t="str">
        <f>VLOOKUP(B12,objectDatabase!B:C,2,1)</f>
        <v>level10_wall</v>
      </c>
      <c r="D12" s="4">
        <v>150</v>
      </c>
      <c r="E12" s="4">
        <v>1</v>
      </c>
      <c r="F12" s="4" t="str">
        <f>VLOOKUP(E12,weaponDatabase!$B:$H,2,1)</f>
        <v>Combat SMG</v>
      </c>
      <c r="G12" s="4">
        <f>VLOOKUP(E12,weaponData!$B:$H,5,1)</f>
        <v>22</v>
      </c>
      <c r="H12" s="4">
        <f t="shared" si="1"/>
        <v>3300</v>
      </c>
    </row>
    <row r="13" spans="2:8">
      <c r="B13" s="4">
        <v>11</v>
      </c>
      <c r="C13" s="4" t="str">
        <f>VLOOKUP(B13,objectDatabase!B:C,2,1)</f>
        <v>level11_wall</v>
      </c>
      <c r="D13" s="4">
        <v>160</v>
      </c>
      <c r="E13" s="4">
        <v>1</v>
      </c>
      <c r="F13" s="4" t="str">
        <f>VLOOKUP(E13,weaponDatabase!$B:$H,2,1)</f>
        <v>Combat SMG</v>
      </c>
      <c r="G13" s="4">
        <f>VLOOKUP(E13,weaponData!$B:$H,5,1)</f>
        <v>22</v>
      </c>
      <c r="H13" s="4">
        <f t="shared" si="1"/>
        <v>3520</v>
      </c>
    </row>
    <row r="14" spans="2:8">
      <c r="B14" s="4">
        <v>12</v>
      </c>
      <c r="C14" s="4" t="str">
        <f>VLOOKUP(B14,objectDatabase!B:C,2,1)</f>
        <v>level12_wall</v>
      </c>
      <c r="D14" s="4">
        <v>170</v>
      </c>
      <c r="E14" s="4">
        <v>1</v>
      </c>
      <c r="F14" s="4" t="str">
        <f>VLOOKUP(E14,weaponDatabase!$B:$H,2,1)</f>
        <v>Combat SMG</v>
      </c>
      <c r="G14" s="4">
        <f>VLOOKUP(E14,weaponData!$B:$H,5,1)</f>
        <v>22</v>
      </c>
      <c r="H14" s="4">
        <f t="shared" si="1"/>
        <v>3740</v>
      </c>
    </row>
    <row r="15" spans="2:8">
      <c r="B15" s="4">
        <v>13</v>
      </c>
      <c r="C15" s="4" t="str">
        <f>VLOOKUP(B15,objectDatabase!B:C,2,1)</f>
        <v>level13_wall</v>
      </c>
      <c r="D15" s="4">
        <v>180</v>
      </c>
      <c r="E15" s="4">
        <v>1</v>
      </c>
      <c r="F15" s="4" t="str">
        <f>VLOOKUP(E15,weaponDatabase!$B:$H,2,1)</f>
        <v>Combat SMG</v>
      </c>
      <c r="G15" s="4">
        <f>VLOOKUP(E15,weaponData!$B:$H,5,1)</f>
        <v>22</v>
      </c>
      <c r="H15" s="4">
        <f t="shared" si="1"/>
        <v>3960</v>
      </c>
    </row>
    <row r="16" spans="2:8">
      <c r="B16" s="4">
        <v>14</v>
      </c>
      <c r="C16" s="4" t="str">
        <f>VLOOKUP(B16,objectDatabase!B:C,2,1)</f>
        <v>level14_wall</v>
      </c>
      <c r="D16" s="4">
        <v>190</v>
      </c>
      <c r="E16" s="4">
        <v>1</v>
      </c>
      <c r="F16" s="4" t="str">
        <f>VLOOKUP(E16,weaponDatabase!$B:$H,2,1)</f>
        <v>Combat SMG</v>
      </c>
      <c r="G16" s="4">
        <f>VLOOKUP(E16,weaponData!$B:$H,5,1)</f>
        <v>22</v>
      </c>
      <c r="H16" s="4">
        <f t="shared" si="1"/>
        <v>4180</v>
      </c>
    </row>
    <row r="17" spans="2:8">
      <c r="B17" s="4">
        <v>15</v>
      </c>
      <c r="C17" s="4" t="str">
        <f>VLOOKUP(B17,objectDatabase!B:C,2,1)</f>
        <v>level15_wall</v>
      </c>
      <c r="D17" s="4">
        <v>200</v>
      </c>
      <c r="E17" s="4">
        <v>1</v>
      </c>
      <c r="F17" s="4" t="str">
        <f>VLOOKUP(E17,weaponDatabase!$B:$H,2,1)</f>
        <v>Combat SMG</v>
      </c>
      <c r="G17" s="4">
        <f>VLOOKUP(E17,weaponData!$B:$H,5,1)</f>
        <v>22</v>
      </c>
      <c r="H17" s="4">
        <f t="shared" si="1"/>
        <v>4400</v>
      </c>
    </row>
    <row r="18" spans="2:8">
      <c r="B18" s="4">
        <v>16</v>
      </c>
      <c r="C18" s="4" t="str">
        <f>VLOOKUP(B18,objectDatabase!B:C,2,1)</f>
        <v>level16_wall</v>
      </c>
      <c r="D18" s="4">
        <v>210</v>
      </c>
      <c r="E18" s="4">
        <v>1</v>
      </c>
      <c r="F18" s="4" t="str">
        <f>VLOOKUP(E18,weaponDatabase!$B:$H,2,1)</f>
        <v>Combat SMG</v>
      </c>
      <c r="G18" s="4">
        <f>VLOOKUP(E18,weaponData!$B:$H,5,1)</f>
        <v>22</v>
      </c>
      <c r="H18" s="4">
        <f t="shared" si="1"/>
        <v>4620</v>
      </c>
    </row>
    <row r="19" spans="2:8">
      <c r="B19" s="4">
        <v>17</v>
      </c>
      <c r="C19" s="4" t="str">
        <f>VLOOKUP(B19,objectDatabase!B:C,2,1)</f>
        <v>level17_wall</v>
      </c>
      <c r="D19" s="4">
        <v>220</v>
      </c>
      <c r="E19" s="4">
        <v>1</v>
      </c>
      <c r="F19" s="4" t="str">
        <f>VLOOKUP(E19,weaponDatabase!$B:$H,2,1)</f>
        <v>Combat SMG</v>
      </c>
      <c r="G19" s="4">
        <f>VLOOKUP(E19,weaponData!$B:$H,5,1)</f>
        <v>22</v>
      </c>
      <c r="H19" s="4">
        <f t="shared" si="1"/>
        <v>4840</v>
      </c>
    </row>
    <row r="20" spans="2:8">
      <c r="B20" s="4">
        <v>18</v>
      </c>
      <c r="C20" s="4" t="str">
        <f>VLOOKUP(B20,objectDatabase!B:C,2,1)</f>
        <v>level18_wall</v>
      </c>
      <c r="D20" s="4">
        <v>230</v>
      </c>
      <c r="E20" s="4">
        <v>1</v>
      </c>
      <c r="F20" s="4" t="str">
        <f>VLOOKUP(E20,weaponDatabase!$B:$H,2,1)</f>
        <v>Combat SMG</v>
      </c>
      <c r="G20" s="4">
        <f>VLOOKUP(E20,weaponData!$B:$H,5,1)</f>
        <v>22</v>
      </c>
      <c r="H20" s="4">
        <f t="shared" si="1"/>
        <v>5060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4D2C6-E044-4FA7-A046-87B2F807823A}">
  <dimension ref="B1:K19"/>
  <sheetViews>
    <sheetView workbookViewId="0">
      <pane ySplit="1" topLeftCell="A2" activePane="bottomLeft" state="frozen"/>
      <selection pane="bottomLeft" activeCell="G15" sqref="G15"/>
    </sheetView>
  </sheetViews>
  <sheetFormatPr defaultRowHeight="14.5"/>
  <cols>
    <col min="1" max="1" width="1.90625" style="1" customWidth="1"/>
    <col min="2" max="2" width="7.6328125" style="1" customWidth="1"/>
    <col min="3" max="4" width="38.36328125" style="1" customWidth="1"/>
    <col min="5" max="5" width="17.81640625" style="1" customWidth="1"/>
    <col min="6" max="6" width="26.453125" style="1" customWidth="1"/>
    <col min="7" max="7" width="23.90625" style="1" customWidth="1"/>
    <col min="8" max="8" width="19.90625" style="1" customWidth="1"/>
    <col min="9" max="9" width="15.81640625" style="1" customWidth="1"/>
    <col min="10" max="10" width="8.7265625" style="1"/>
    <col min="11" max="11" width="22.6328125" style="1" customWidth="1"/>
    <col min="12" max="12" width="16.6328125" style="1" customWidth="1"/>
    <col min="13" max="16384" width="8.7265625" style="1"/>
  </cols>
  <sheetData>
    <row r="1" spans="2:11">
      <c r="B1" s="2" t="s">
        <v>23</v>
      </c>
      <c r="C1" s="2" t="s">
        <v>16</v>
      </c>
      <c r="D1" s="2" t="s">
        <v>17</v>
      </c>
      <c r="E1" s="2" t="s">
        <v>18</v>
      </c>
      <c r="F1" s="2" t="s">
        <v>19</v>
      </c>
      <c r="G1" s="2" t="s">
        <v>20</v>
      </c>
      <c r="H1" s="2" t="s">
        <v>21</v>
      </c>
    </row>
    <row r="2" spans="2:11">
      <c r="B2" s="1" t="s">
        <v>22</v>
      </c>
      <c r="C2" s="1" t="s">
        <v>13</v>
      </c>
      <c r="D2" s="1" t="s">
        <v>14</v>
      </c>
      <c r="E2" s="1" t="s">
        <v>11</v>
      </c>
      <c r="F2" s="1" t="s">
        <v>7</v>
      </c>
      <c r="G2" s="1" t="s">
        <v>6</v>
      </c>
      <c r="H2" s="1" t="s">
        <v>5</v>
      </c>
      <c r="K2" s="1" t="s">
        <v>47</v>
      </c>
    </row>
    <row r="3" spans="2:11">
      <c r="B3" s="1">
        <v>1</v>
      </c>
      <c r="C3" s="1" t="s">
        <v>10</v>
      </c>
      <c r="D3" s="1" t="s">
        <v>15</v>
      </c>
      <c r="E3" s="1" t="s">
        <v>8</v>
      </c>
      <c r="F3" s="1">
        <v>264</v>
      </c>
      <c r="G3" s="1">
        <v>22</v>
      </c>
      <c r="H3" s="1">
        <f>G3/F3</f>
        <v>8.3333333333333329E-2</v>
      </c>
    </row>
    <row r="4" spans="2:11">
      <c r="B4" s="1">
        <v>2</v>
      </c>
      <c r="C4" s="1" t="s">
        <v>36</v>
      </c>
      <c r="D4" s="1" t="s">
        <v>37</v>
      </c>
      <c r="E4" s="1" t="s">
        <v>9</v>
      </c>
      <c r="F4" s="1">
        <v>182.25</v>
      </c>
      <c r="G4" s="1">
        <v>27</v>
      </c>
      <c r="H4" s="1">
        <f>G4/F4</f>
        <v>0.14814814814814814</v>
      </c>
    </row>
    <row r="17" ht="40" customHeight="1"/>
    <row r="19" ht="18" customHeight="1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6F69F-5B2E-4C56-A128-83F325B5F405}">
  <dimension ref="B1:D20"/>
  <sheetViews>
    <sheetView workbookViewId="0">
      <pane ySplit="1" topLeftCell="A2" activePane="bottomLeft" state="frozen"/>
      <selection pane="bottomLeft" activeCell="I15" sqref="I15"/>
    </sheetView>
  </sheetViews>
  <sheetFormatPr defaultRowHeight="14.5"/>
  <cols>
    <col min="1" max="1" width="3.54296875" style="1" customWidth="1"/>
    <col min="2" max="2" width="8.7265625" style="1"/>
    <col min="3" max="3" width="23.26953125" style="1" customWidth="1"/>
    <col min="4" max="16384" width="8.7265625" style="1"/>
  </cols>
  <sheetData>
    <row r="1" spans="2:4">
      <c r="B1" s="2" t="s">
        <v>23</v>
      </c>
      <c r="C1" s="2" t="s">
        <v>25</v>
      </c>
      <c r="D1" s="2" t="s">
        <v>38</v>
      </c>
    </row>
    <row r="2" spans="2:4">
      <c r="B2" s="1" t="s">
        <v>22</v>
      </c>
      <c r="C2" s="1" t="s">
        <v>13</v>
      </c>
      <c r="D2" s="1" t="s">
        <v>39</v>
      </c>
    </row>
    <row r="3" spans="2:4">
      <c r="B3" s="1">
        <v>1</v>
      </c>
      <c r="C3" s="1" t="s">
        <v>42</v>
      </c>
      <c r="D3" s="1">
        <v>1</v>
      </c>
    </row>
    <row r="4" spans="2:4">
      <c r="B4" s="1">
        <v>2</v>
      </c>
      <c r="C4" s="1" t="s">
        <v>41</v>
      </c>
      <c r="D4" s="1">
        <v>2</v>
      </c>
    </row>
    <row r="5" spans="2:4">
      <c r="B5" s="1">
        <v>3</v>
      </c>
      <c r="C5" s="1" t="s">
        <v>40</v>
      </c>
      <c r="D5" s="1">
        <v>3</v>
      </c>
    </row>
    <row r="6" spans="2:4">
      <c r="B6" s="1">
        <v>4</v>
      </c>
      <c r="C6" s="1" t="s">
        <v>43</v>
      </c>
      <c r="D6" s="1">
        <v>4</v>
      </c>
    </row>
    <row r="7" spans="2:4">
      <c r="B7" s="1">
        <v>5</v>
      </c>
      <c r="C7" s="1" t="s">
        <v>44</v>
      </c>
      <c r="D7" s="1">
        <v>5</v>
      </c>
    </row>
    <row r="8" spans="2:4">
      <c r="B8" s="1">
        <v>6</v>
      </c>
      <c r="C8" s="1" t="s">
        <v>45</v>
      </c>
      <c r="D8" s="1">
        <v>6</v>
      </c>
    </row>
    <row r="9" spans="2:4">
      <c r="B9" s="1">
        <v>7</v>
      </c>
      <c r="C9" s="1" t="s">
        <v>46</v>
      </c>
      <c r="D9" s="1">
        <v>7</v>
      </c>
    </row>
    <row r="10" spans="2:4">
      <c r="B10" s="1">
        <v>8</v>
      </c>
      <c r="C10" s="1" t="str">
        <f>"level"&amp;B10&amp;"_wall"</f>
        <v>level8_wall</v>
      </c>
      <c r="D10" s="1">
        <v>8</v>
      </c>
    </row>
    <row r="11" spans="2:4">
      <c r="B11" s="1">
        <v>9</v>
      </c>
      <c r="C11" s="1" t="str">
        <f t="shared" ref="C11:C20" si="0">"level"&amp;B11&amp;"_wall"</f>
        <v>level9_wall</v>
      </c>
      <c r="D11" s="1">
        <v>9</v>
      </c>
    </row>
    <row r="12" spans="2:4">
      <c r="B12" s="1">
        <v>10</v>
      </c>
      <c r="C12" s="1" t="str">
        <f t="shared" si="0"/>
        <v>level10_wall</v>
      </c>
      <c r="D12" s="1">
        <v>10</v>
      </c>
    </row>
    <row r="13" spans="2:4">
      <c r="B13" s="1">
        <v>11</v>
      </c>
      <c r="C13" s="1" t="str">
        <f t="shared" si="0"/>
        <v>level11_wall</v>
      </c>
      <c r="D13" s="1">
        <v>11</v>
      </c>
    </row>
    <row r="14" spans="2:4">
      <c r="B14" s="1">
        <v>12</v>
      </c>
      <c r="C14" s="1" t="str">
        <f t="shared" si="0"/>
        <v>level12_wall</v>
      </c>
      <c r="D14" s="1">
        <v>12</v>
      </c>
    </row>
    <row r="15" spans="2:4">
      <c r="B15" s="1">
        <v>13</v>
      </c>
      <c r="C15" s="1" t="str">
        <f t="shared" si="0"/>
        <v>level13_wall</v>
      </c>
      <c r="D15" s="1">
        <v>13</v>
      </c>
    </row>
    <row r="16" spans="2:4">
      <c r="B16" s="1">
        <v>14</v>
      </c>
      <c r="C16" s="1" t="str">
        <f t="shared" si="0"/>
        <v>level14_wall</v>
      </c>
      <c r="D16" s="1">
        <v>14</v>
      </c>
    </row>
    <row r="17" spans="2:4">
      <c r="B17" s="1">
        <v>15</v>
      </c>
      <c r="C17" s="1" t="str">
        <f t="shared" si="0"/>
        <v>level15_wall</v>
      </c>
      <c r="D17" s="1">
        <v>15</v>
      </c>
    </row>
    <row r="18" spans="2:4">
      <c r="B18" s="1">
        <v>16</v>
      </c>
      <c r="C18" s="1" t="str">
        <f t="shared" si="0"/>
        <v>level16_wall</v>
      </c>
      <c r="D18" s="1">
        <v>16</v>
      </c>
    </row>
    <row r="19" spans="2:4">
      <c r="B19" s="1">
        <v>17</v>
      </c>
      <c r="C19" s="1" t="str">
        <f t="shared" si="0"/>
        <v>level17_wall</v>
      </c>
      <c r="D19" s="1">
        <v>17</v>
      </c>
    </row>
    <row r="20" spans="2:4">
      <c r="B20" s="1">
        <v>18</v>
      </c>
      <c r="C20" s="1" t="str">
        <f t="shared" si="0"/>
        <v>level18_wall</v>
      </c>
      <c r="D20" s="1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!!readme!!</vt:lpstr>
      <vt:lpstr>_weapon_</vt:lpstr>
      <vt:lpstr>_object_</vt:lpstr>
      <vt:lpstr>_levelUnlock_</vt:lpstr>
      <vt:lpstr>_meta_</vt:lpstr>
      <vt:lpstr>weaponData</vt:lpstr>
      <vt:lpstr>objectData</vt:lpstr>
      <vt:lpstr>weaponDatabase</vt:lpstr>
      <vt:lpstr>objectDatabase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손형준</dc:creator>
  <cp:lastModifiedBy>손형준</cp:lastModifiedBy>
  <dcterms:created xsi:type="dcterms:W3CDTF">2023-10-31T14:58:01Z</dcterms:created>
  <dcterms:modified xsi:type="dcterms:W3CDTF">2023-11-21T18:16:35Z</dcterms:modified>
</cp:coreProperties>
</file>